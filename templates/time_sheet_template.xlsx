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1EF925C2-3F75-49C0-8F0B-38C1713889AC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-110" yWindow="-110" windowWidth="38620" windowHeight="2110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1" l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E29" i="1"/>
  <c r="D29" i="1"/>
  <c r="C29" i="1"/>
  <c r="F29" i="1" l="1"/>
  <c r="C32" i="1" s="1"/>
  <c r="F32" i="1" s="1"/>
</calcChain>
</file>

<file path=xl/sharedStrings.xml><?xml version="1.0" encoding="utf-8"?>
<sst xmlns="http://schemas.openxmlformats.org/spreadsheetml/2006/main" count="20" uniqueCount="20">
  <si>
    <t xml:space="preserve">        </t>
  </si>
  <si>
    <t>Mitarbeiter*in:</t>
  </si>
  <si>
    <t>Ma-Nr.:</t>
  </si>
  <si>
    <t>Monat/Jahr:</t>
  </si>
  <si>
    <t>Soll Stunden/Monat:</t>
  </si>
  <si>
    <t>Klient*in:</t>
  </si>
  <si>
    <t>Klient-Nr.:</t>
  </si>
  <si>
    <t>Uhrzeit</t>
  </si>
  <si>
    <t>Datum</t>
  </si>
  <si>
    <t>Fahrtzeit</t>
  </si>
  <si>
    <t>Direkter Fallkontakt</t>
  </si>
  <si>
    <t>Indirekte Fallbearbeitung</t>
  </si>
  <si>
    <t xml:space="preserve">Notizen           </t>
  </si>
  <si>
    <t>Insgesamt</t>
  </si>
  <si>
    <t>Soll Stunden</t>
  </si>
  <si>
    <t>Ist Stunden</t>
  </si>
  <si>
    <t>Stunden (Plus/Minus)</t>
  </si>
  <si>
    <t>Leistungstyp:</t>
  </si>
  <si>
    <t>Summe Zeit</t>
  </si>
  <si>
    <t>Zeiterfassung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</si>
</sst>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</numFmts>
  <fonts count="16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11"/>
    <xf numFmtId="0" fontId="13" fillId="3" borderId="11"/>
  </cellStyleXfs>
  <cellXfs count="59">
    <xf numFmtId="0" fontId="0" fillId="0" borderId="0" xfId="0"/>
    <xf numFmtId="20" fontId="8" fillId="0" borderId="2" xfId="0" applyNumberFormat="1" applyFont="1" applyBorder="1" applyAlignment="1" applyProtection="1">
      <alignment horizontal="center"/>
      <protection locked="0"/>
    </xf>
    <xf numFmtId="14" fontId="8" fillId="0" borderId="4" xfId="0" applyNumberFormat="1" applyFont="1" applyBorder="1" applyAlignment="1" applyProtection="1">
      <alignment horizontal="center"/>
      <protection locked="0"/>
    </xf>
    <xf numFmtId="0" fontId="8" fillId="0" borderId="2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center"/>
      <protection locked="0"/>
    </xf>
    <xf numFmtId="14" fontId="8" fillId="0" borderId="6" xfId="0" applyNumberFormat="1" applyFont="1" applyBorder="1" applyAlignment="1" applyProtection="1">
      <alignment horizontal="center"/>
      <protection locked="0"/>
    </xf>
    <xf numFmtId="2" fontId="8" fillId="0" borderId="3" xfId="0" applyNumberFormat="1" applyFont="1" applyBorder="1" applyAlignment="1" applyProtection="1">
      <alignment horizontal="left" wrapText="1"/>
      <protection locked="0"/>
    </xf>
    <xf numFmtId="2" fontId="8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8" fillId="0" borderId="2" xfId="0" applyNumberFormat="1" applyFont="1" applyBorder="1" applyAlignment="1" applyProtection="1">
      <alignment horizontal="center"/>
      <protection locked="0"/>
    </xf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9" fillId="0" borderId="5" xfId="0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8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5" fillId="0" borderId="11" xfId="1" applyFont="1" applyFill="1" applyAlignment="1">
      <alignment horizontal="center" vertical="center" wrapText="1"/>
    </xf>
    <xf numFmtId="49" fontId="15" fillId="0" borderId="11" xfId="1" applyNumberFormat="1" applyFont="1" applyFill="1" applyAlignment="1">
      <alignment horizontal="center" vertical="center" wrapText="1"/>
    </xf>
    <xf numFmtId="164" fontId="15" fillId="0" borderId="11" xfId="1" applyNumberFormat="1" applyFont="1" applyFill="1" applyAlignment="1">
      <alignment horizontal="center" vertical="center" wrapText="1"/>
    </xf>
    <xf numFmtId="0" fontId="14" fillId="0" borderId="11" xfId="2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left"/>
    </xf>
    <xf numFmtId="164" fontId="2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8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8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 readingOrder="1"/>
    </xf>
    <xf numFmtId="0" fontId="0" fillId="0" borderId="1" xfId="0" applyBorder="1"/>
    <xf numFmtId="0" fontId="4" fillId="0" borderId="5" xfId="0" applyFont="1" applyBorder="1" applyAlignment="1">
      <alignment horizontal="left" readingOrder="1"/>
    </xf>
    <xf numFmtId="0" fontId="0" fillId="0" borderId="5" xfId="0" applyBorder="1"/>
    <xf numFmtId="0" fontId="2" fillId="0" borderId="4" xfId="0" applyFont="1" applyBorder="1" applyAlignment="1">
      <alignment horizontal="center"/>
    </xf>
    <xf numFmtId="0" fontId="0" fillId="0" borderId="2" xfId="0" applyBorder="1"/>
    <xf numFmtId="49" fontId="4" fillId="0" borderId="1" xfId="0" applyNumberFormat="1" applyFont="1" applyBorder="1"/>
    <xf numFmtId="167" fontId="2" fillId="0" borderId="3" xfId="0" quotePrefix="1" applyNumberFormat="1" applyFont="1" applyBorder="1" applyAlignment="1">
      <alignment horizontal="center" vertical="center"/>
    </xf>
    <xf numFmtId="167" fontId="2" fillId="0" borderId="1" xfId="0" quotePrefix="1" applyNumberFormat="1" applyFont="1" applyBorder="1" applyAlignment="1">
      <alignment horizontal="center" vertical="center"/>
    </xf>
    <xf numFmtId="167" fontId="2" fillId="0" borderId="2" xfId="0" quotePrefix="1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</cellXfs>
  <cellStyles count="3">
    <cellStyle name="Berechnung" xfId="2" builtinId="22"/>
    <cellStyle name="Eingabe" xfId="1" builtinId="20"/>
    <cellStyle name="Standard" xfId="0" builtinId="0"/>
  </cellStyles>
  <dxfs count="19"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9" formatCode="dd/mm/yyyy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2904292</xdr:colOff>
      <xdr:row>0</xdr:row>
      <xdr:rowOff>38100</xdr:rowOff>
    </xdr:from>
    <xdr:to>
      <xdr:col>6</xdr:col>
      <xdr:colOff>4732919</xdr:colOff>
      <xdr:row>8</xdr:row>
      <xdr:rowOff>74792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14442" y="38100"/>
          <a:ext cx="1830010" cy="154799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G29" totalsRowCount="1" headerRowDxfId="18" dataDxfId="17" totalsRowDxfId="15" tableBorderDxfId="16">
  <autoFilter ref="A10:G28" xr:uid="{00000000-0009-0000-0100-000001000000}"/>
  <tableColumns count="7">
    <tableColumn id="1" xr3:uid="{00000000-0010-0000-0000-000001000000}" name="Uhrzeit" dataDxfId="14" totalsRowDxfId="13"/>
    <tableColumn id="2" xr3:uid="{00000000-0010-0000-0000-000002000000}" name="Datum" totalsRowLabel="Insgesamt" dataDxfId="12" totalsRowDxfId="11"/>
    <tableColumn id="3" xr3:uid="{00000000-0010-0000-0000-000003000000}" name="Fahrtzeit" totalsRowFunction="custom" dataDxfId="10" totalsRowDxfId="9">
      <totalsRowFormula>ROUNDUP(SUBTOTAL(109,Tabelle1[Fahrtzeit])/5,0)*5</totalsRowFormula>
    </tableColumn>
    <tableColumn id="5" xr3:uid="{00000000-0010-0000-0000-000005000000}" name="Direkter Fallkontakt" totalsRowFunction="custom" dataDxfId="8" totalsRowDxfId="7">
      <totalsRowFormula>ROUNDUP(SUBTOTAL(109,Tabelle1[Direkter Fallkontakt])/5,0)*5</totalsRowFormula>
    </tableColumn>
    <tableColumn id="6" xr3:uid="{00000000-0010-0000-0000-000006000000}" name="Indirekte Fallbearbeitung" totalsRowFunction="custom" dataDxfId="6" totalsRowDxfId="5">
      <totalsRowFormula>ROUNDUP(SUBTOTAL(109,Tabelle1[Indirekte Fallbearbeitung])/5,0)*5</totalsRowFormula>
    </tableColumn>
    <tableColumn id="7" xr3:uid="{00000000-0010-0000-0000-000007000000}" name="Summe Zeit" totalsRowFunction="sum" dataDxfId="4" totalsRowDxfId="3">
      <calculatedColumnFormula>SUM(ROUNDUP(Tabelle1[[#This Row],[Fahrtzeit]]/5,0)*5, ROUNDUP(Tabelle1[[#This Row],[Direkter Fallkontakt]]/5,0)*5,ROUNDUP(Tabelle1[[#This Row],[Indirekte Fallbearbeitung]]/5,0)*5)</calculatedColumnFormula>
    </tableColumn>
    <tableColumn id="8" xr3:uid="{00000000-0010-0000-0000-000008000000}" name="Notizen           " dataDxfId="2" totalsRow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33"/>
  <sheetViews>
    <sheetView showGridLines="0" tabSelected="1" view="pageLayout" zoomScaleNormal="100" workbookViewId="0">
      <selection activeCell="B4" sqref="B4"/>
    </sheetView>
  </sheetViews>
  <sheetFormatPr baseColWidth="10" defaultColWidth="11.26953125" defaultRowHeight="13" x14ac:dyDescent="0.3"/>
  <cols>
    <col min="1" max="1" width="11.81640625" style="8" customWidth="1"/>
    <col min="2" max="2" width="11.26953125" style="9" customWidth="1"/>
    <col min="3" max="3" width="9.26953125" style="10" customWidth="1"/>
    <col min="4" max="4" width="12.90625" style="10" customWidth="1"/>
    <col min="5" max="5" width="13.81640625" style="11" customWidth="1"/>
    <col min="6" max="6" width="8.6328125" style="10" customWidth="1"/>
    <col min="7" max="7" width="71.81640625" style="12" customWidth="1"/>
    <col min="8" max="16384" width="11.26953125" style="13"/>
  </cols>
  <sheetData>
    <row r="3" spans="1:7" ht="22" customHeight="1" x14ac:dyDescent="0.5">
      <c r="A3" s="17" t="s">
        <v>0</v>
      </c>
      <c r="B3" s="18" t="s">
        <v>19</v>
      </c>
    </row>
    <row r="5" spans="1:7" ht="14.5" customHeight="1" x14ac:dyDescent="0.35">
      <c r="A5" s="49" t="s">
        <v>1</v>
      </c>
      <c r="B5" s="50"/>
      <c r="C5" s="19"/>
      <c r="D5" s="19"/>
      <c r="E5" s="20" t="s">
        <v>2</v>
      </c>
      <c r="F5" s="21"/>
    </row>
    <row r="6" spans="1:7" ht="14.5" customHeight="1" x14ac:dyDescent="0.3">
      <c r="A6" s="47" t="s">
        <v>3</v>
      </c>
      <c r="B6" s="48"/>
      <c r="C6" s="22"/>
      <c r="D6" s="23"/>
      <c r="E6" s="20"/>
      <c r="F6" s="24"/>
    </row>
    <row r="7" spans="1:7" ht="14.5" customHeight="1" x14ac:dyDescent="0.3">
      <c r="A7" s="47" t="s">
        <v>4</v>
      </c>
      <c r="B7" s="48"/>
      <c r="C7" s="46"/>
      <c r="D7" s="25"/>
      <c r="E7" s="21" t="s">
        <v>17</v>
      </c>
      <c r="F7" s="24"/>
    </row>
    <row r="8" spans="1:7" ht="14.5" customHeight="1" x14ac:dyDescent="0.35">
      <c r="A8" s="53" t="s">
        <v>5</v>
      </c>
      <c r="B8" s="48"/>
      <c r="C8" s="23"/>
      <c r="D8" s="23"/>
      <c r="E8" s="24" t="s">
        <v>6</v>
      </c>
      <c r="F8" s="24"/>
    </row>
    <row r="9" spans="1:7" ht="14.5" customHeight="1" x14ac:dyDescent="0.35">
      <c r="A9" s="26"/>
      <c r="B9" s="27"/>
      <c r="C9" s="28"/>
      <c r="D9" s="28"/>
      <c r="E9" s="29"/>
      <c r="F9" s="28"/>
    </row>
    <row r="10" spans="1:7" ht="24.5" customHeight="1" x14ac:dyDescent="0.3">
      <c r="A10" s="30" t="s">
        <v>7</v>
      </c>
      <c r="B10" s="31" t="s">
        <v>8</v>
      </c>
      <c r="C10" s="30" t="s">
        <v>9</v>
      </c>
      <c r="D10" s="30" t="s">
        <v>10</v>
      </c>
      <c r="E10" s="32" t="s">
        <v>11</v>
      </c>
      <c r="F10" s="33" t="s">
        <v>18</v>
      </c>
      <c r="G10" s="30" t="s">
        <v>12</v>
      </c>
    </row>
    <row r="11" spans="1:7" ht="14.15" customHeight="1" x14ac:dyDescent="0.3">
      <c r="A11" s="16"/>
      <c r="B11" s="2"/>
      <c r="C11" s="40"/>
      <c r="D11" s="40"/>
      <c r="E11" s="40"/>
      <c r="F11" s="41">
        <f>SUM(ROUNDUP(Tabelle1[[#This Row],[Fahrtzeit]]/5,0)*5, ROUNDUP(Tabelle1[[#This Row],[Direkter Fallkontakt]]/5,0)*5,ROUNDUP(Tabelle1[[#This Row],[Indirekte Fallbearbeitung]]/5,0)*5)</f>
        <v>0</v>
      </c>
      <c r="G11" s="6"/>
    </row>
    <row r="12" spans="1:7" ht="14.15" customHeight="1" x14ac:dyDescent="0.3">
      <c r="A12" s="1"/>
      <c r="B12" s="2"/>
      <c r="C12" s="40"/>
      <c r="D12" s="40"/>
      <c r="E12" s="40"/>
      <c r="F12" s="41">
        <f>SUM(ROUNDUP(Tabelle1[[#This Row],[Fahrtzeit]]/5,0)*5, ROUNDUP(Tabelle1[[#This Row],[Direkter Fallkontakt]]/5,0)*5,ROUNDUP(Tabelle1[[#This Row],[Indirekte Fallbearbeitung]]/5,0)*5)</f>
        <v>0</v>
      </c>
      <c r="G12" s="6"/>
    </row>
    <row r="13" spans="1:7" ht="14.15" customHeight="1" x14ac:dyDescent="0.3">
      <c r="A13" s="1"/>
      <c r="B13" s="2"/>
      <c r="C13" s="40"/>
      <c r="D13" s="40"/>
      <c r="E13" s="40"/>
      <c r="F13" s="41">
        <f>SUM(ROUNDUP(Tabelle1[[#This Row],[Fahrtzeit]]/5,0)*5, ROUNDUP(Tabelle1[[#This Row],[Direkter Fallkontakt]]/5,0)*5,ROUNDUP(Tabelle1[[#This Row],[Indirekte Fallbearbeitung]]/5,0)*5)</f>
        <v>0</v>
      </c>
      <c r="G13" s="6"/>
    </row>
    <row r="14" spans="1:7" ht="14.15" customHeight="1" x14ac:dyDescent="0.3">
      <c r="A14" s="1"/>
      <c r="B14" s="2"/>
      <c r="C14" s="40"/>
      <c r="D14" s="40"/>
      <c r="E14" s="40"/>
      <c r="F14" s="41">
        <f>SUM(ROUNDUP(Tabelle1[[#This Row],[Fahrtzeit]]/5,0)*5, ROUNDUP(Tabelle1[[#This Row],[Direkter Fallkontakt]]/5,0)*5,ROUNDUP(Tabelle1[[#This Row],[Indirekte Fallbearbeitung]]/5,0)*5)</f>
        <v>0</v>
      </c>
      <c r="G14" s="6"/>
    </row>
    <row r="15" spans="1:7" ht="14.15" customHeight="1" x14ac:dyDescent="0.3">
      <c r="A15" s="1"/>
      <c r="B15" s="2"/>
      <c r="C15" s="40"/>
      <c r="D15" s="40"/>
      <c r="E15" s="40"/>
      <c r="F15" s="41">
        <f>SUM(ROUNDUP(Tabelle1[[#This Row],[Fahrtzeit]]/5,0)*5, ROUNDUP(Tabelle1[[#This Row],[Direkter Fallkontakt]]/5,0)*5,ROUNDUP(Tabelle1[[#This Row],[Indirekte Fallbearbeitung]]/5,0)*5)</f>
        <v>0</v>
      </c>
      <c r="G15" s="6"/>
    </row>
    <row r="16" spans="1:7" s="14" customFormat="1" ht="14.15" customHeight="1" x14ac:dyDescent="0.35">
      <c r="A16" s="1"/>
      <c r="B16" s="2"/>
      <c r="C16" s="40"/>
      <c r="D16" s="40"/>
      <c r="E16" s="40"/>
      <c r="F16" s="41">
        <f>SUM(ROUNDUP(Tabelle1[[#This Row],[Fahrtzeit]]/5,0)*5, ROUNDUP(Tabelle1[[#This Row],[Direkter Fallkontakt]]/5,0)*5,ROUNDUP(Tabelle1[[#This Row],[Indirekte Fallbearbeitung]]/5,0)*5)</f>
        <v>0</v>
      </c>
      <c r="G16" s="6"/>
    </row>
    <row r="17" spans="1:7" s="15" customFormat="1" ht="14.15" customHeight="1" x14ac:dyDescent="0.35">
      <c r="A17" s="1"/>
      <c r="B17" s="2"/>
      <c r="C17" s="40"/>
      <c r="D17" s="40"/>
      <c r="E17" s="40"/>
      <c r="F17" s="41">
        <f>SUM(ROUNDUP(Tabelle1[[#This Row],[Fahrtzeit]]/5,0)*5, ROUNDUP(Tabelle1[[#This Row],[Direkter Fallkontakt]]/5,0)*5,ROUNDUP(Tabelle1[[#This Row],[Indirekte Fallbearbeitung]]/5,0)*5)</f>
        <v>0</v>
      </c>
      <c r="G17" s="6"/>
    </row>
    <row r="18" spans="1:7" s="15" customFormat="1" ht="14.15" customHeight="1" x14ac:dyDescent="0.35">
      <c r="A18" s="3"/>
      <c r="B18" s="2"/>
      <c r="C18" s="40"/>
      <c r="D18" s="40"/>
      <c r="E18" s="40"/>
      <c r="F18" s="41">
        <f>SUM(ROUNDUP(Tabelle1[[#This Row],[Fahrtzeit]]/5,0)*5, ROUNDUP(Tabelle1[[#This Row],[Direkter Fallkontakt]]/5,0)*5,ROUNDUP(Tabelle1[[#This Row],[Indirekte Fallbearbeitung]]/5,0)*5)</f>
        <v>0</v>
      </c>
      <c r="G18" s="6"/>
    </row>
    <row r="19" spans="1:7" s="15" customFormat="1" ht="14.15" customHeight="1" x14ac:dyDescent="0.35">
      <c r="A19" s="3"/>
      <c r="B19" s="2"/>
      <c r="C19" s="40"/>
      <c r="D19" s="40"/>
      <c r="E19" s="40"/>
      <c r="F19" s="41">
        <f>SUM(ROUNDUP(Tabelle1[[#This Row],[Fahrtzeit]]/5,0)*5, ROUNDUP(Tabelle1[[#This Row],[Direkter Fallkontakt]]/5,0)*5,ROUNDUP(Tabelle1[[#This Row],[Indirekte Fallbearbeitung]]/5,0)*5)</f>
        <v>0</v>
      </c>
      <c r="G19" s="6"/>
    </row>
    <row r="20" spans="1:7" s="15" customFormat="1" ht="14.15" customHeight="1" x14ac:dyDescent="0.35">
      <c r="A20" s="3"/>
      <c r="B20" s="2"/>
      <c r="C20" s="40"/>
      <c r="D20" s="40"/>
      <c r="E20" s="40"/>
      <c r="F20" s="41">
        <f>SUM(ROUNDUP(Tabelle1[[#This Row],[Fahrtzeit]]/5,0)*5, ROUNDUP(Tabelle1[[#This Row],[Direkter Fallkontakt]]/5,0)*5,ROUNDUP(Tabelle1[[#This Row],[Indirekte Fallbearbeitung]]/5,0)*5)</f>
        <v>0</v>
      </c>
      <c r="G20" s="6"/>
    </row>
    <row r="21" spans="1:7" s="15" customFormat="1" ht="14.15" customHeight="1" x14ac:dyDescent="0.35">
      <c r="A21" s="3"/>
      <c r="B21" s="2"/>
      <c r="C21" s="40"/>
      <c r="D21" s="40"/>
      <c r="E21" s="40"/>
      <c r="F21" s="41">
        <f>SUM(ROUNDUP(Tabelle1[[#This Row],[Fahrtzeit]]/5,0)*5, ROUNDUP(Tabelle1[[#This Row],[Direkter Fallkontakt]]/5,0)*5,ROUNDUP(Tabelle1[[#This Row],[Indirekte Fallbearbeitung]]/5,0)*5)</f>
        <v>0</v>
      </c>
      <c r="G21" s="6"/>
    </row>
    <row r="22" spans="1:7" s="15" customFormat="1" ht="14.15" customHeight="1" x14ac:dyDescent="0.35">
      <c r="A22" s="3"/>
      <c r="B22" s="2"/>
      <c r="C22" s="40"/>
      <c r="D22" s="40"/>
      <c r="E22" s="40"/>
      <c r="F22" s="41">
        <f>SUM(ROUNDUP(Tabelle1[[#This Row],[Fahrtzeit]]/5,0)*5, ROUNDUP(Tabelle1[[#This Row],[Direkter Fallkontakt]]/5,0)*5,ROUNDUP(Tabelle1[[#This Row],[Indirekte Fallbearbeitung]]/5,0)*5)</f>
        <v>0</v>
      </c>
      <c r="G22" s="6"/>
    </row>
    <row r="23" spans="1:7" s="15" customFormat="1" ht="14.15" customHeight="1" x14ac:dyDescent="0.35">
      <c r="A23" s="3"/>
      <c r="B23" s="2"/>
      <c r="C23" s="40"/>
      <c r="D23" s="40"/>
      <c r="E23" s="40"/>
      <c r="F23" s="41">
        <f>SUM(ROUNDUP(Tabelle1[[#This Row],[Fahrtzeit]]/5,0)*5, ROUNDUP(Tabelle1[[#This Row],[Direkter Fallkontakt]]/5,0)*5,ROUNDUP(Tabelle1[[#This Row],[Indirekte Fallbearbeitung]]/5,0)*5)</f>
        <v>0</v>
      </c>
      <c r="G23" s="6"/>
    </row>
    <row r="24" spans="1:7" s="15" customFormat="1" ht="14.15" customHeight="1" x14ac:dyDescent="0.35">
      <c r="A24" s="3"/>
      <c r="B24" s="2"/>
      <c r="C24" s="40"/>
      <c r="D24" s="40"/>
      <c r="E24" s="40"/>
      <c r="F24" s="41">
        <f>SUM(ROUNDUP(Tabelle1[[#This Row],[Fahrtzeit]]/5,0)*5, ROUNDUP(Tabelle1[[#This Row],[Direkter Fallkontakt]]/5,0)*5,ROUNDUP(Tabelle1[[#This Row],[Indirekte Fallbearbeitung]]/5,0)*5)</f>
        <v>0</v>
      </c>
      <c r="G24" s="6"/>
    </row>
    <row r="25" spans="1:7" s="15" customFormat="1" ht="14.15" customHeight="1" x14ac:dyDescent="0.35">
      <c r="A25" s="3"/>
      <c r="B25" s="2"/>
      <c r="C25" s="40"/>
      <c r="D25" s="40"/>
      <c r="E25" s="40"/>
      <c r="F25" s="41">
        <f>SUM(ROUNDUP(Tabelle1[[#This Row],[Fahrtzeit]]/5,0)*5, ROUNDUP(Tabelle1[[#This Row],[Direkter Fallkontakt]]/5,0)*5,ROUNDUP(Tabelle1[[#This Row],[Indirekte Fallbearbeitung]]/5,0)*5)</f>
        <v>0</v>
      </c>
      <c r="G25" s="6"/>
    </row>
    <row r="26" spans="1:7" s="15" customFormat="1" ht="14.15" customHeight="1" x14ac:dyDescent="0.35">
      <c r="A26" s="3"/>
      <c r="B26" s="2"/>
      <c r="C26" s="40"/>
      <c r="D26" s="40"/>
      <c r="E26" s="40"/>
      <c r="F26" s="41">
        <f>SUM(ROUNDUP(Tabelle1[[#This Row],[Fahrtzeit]]/5,0)*5, ROUNDUP(Tabelle1[[#This Row],[Direkter Fallkontakt]]/5,0)*5,ROUNDUP(Tabelle1[[#This Row],[Indirekte Fallbearbeitung]]/5,0)*5)</f>
        <v>0</v>
      </c>
      <c r="G26" s="6"/>
    </row>
    <row r="27" spans="1:7" s="15" customFormat="1" ht="14.15" customHeight="1" x14ac:dyDescent="0.35">
      <c r="A27" s="3"/>
      <c r="B27" s="2"/>
      <c r="C27" s="40"/>
      <c r="D27" s="40"/>
      <c r="E27" s="40"/>
      <c r="F27" s="41">
        <f>SUM(ROUNDUP(Tabelle1[[#This Row],[Fahrtzeit]]/5,0)*5, ROUNDUP(Tabelle1[[#This Row],[Direkter Fallkontakt]]/5,0)*5,ROUNDUP(Tabelle1[[#This Row],[Indirekte Fallbearbeitung]]/5,0)*5)</f>
        <v>0</v>
      </c>
      <c r="G27" s="6"/>
    </row>
    <row r="28" spans="1:7" s="15" customFormat="1" ht="14.15" customHeight="1" x14ac:dyDescent="0.35">
      <c r="A28" s="4"/>
      <c r="B28" s="5"/>
      <c r="C28" s="42"/>
      <c r="D28" s="42"/>
      <c r="E28" s="42"/>
      <c r="F28" s="43">
        <f>SUM(ROUNDUP(Tabelle1[[#This Row],[Fahrtzeit]]/5,0)*5, ROUNDUP(Tabelle1[[#This Row],[Direkter Fallkontakt]]/5,0)*5,ROUNDUP(Tabelle1[[#This Row],[Indirekte Fallbearbeitung]]/5,0)*5)</f>
        <v>0</v>
      </c>
      <c r="G28" s="7"/>
    </row>
    <row r="29" spans="1:7" s="15" customFormat="1" ht="15.5" customHeight="1" x14ac:dyDescent="0.35">
      <c r="A29" s="34"/>
      <c r="B29" s="35" t="s">
        <v>13</v>
      </c>
      <c r="C29" s="44">
        <f>ROUNDUP(SUBTOTAL(109,Tabelle1[Fahrtzeit])/5,0)*5</f>
        <v>0</v>
      </c>
      <c r="D29" s="44">
        <f>ROUNDUP(SUBTOTAL(109,Tabelle1[Direkter Fallkontakt])/5,0)*5</f>
        <v>0</v>
      </c>
      <c r="E29" s="44">
        <f>ROUNDUP(SUBTOTAL(109,Tabelle1[Indirekte Fallbearbeitung])/5,0)*5</f>
        <v>0</v>
      </c>
      <c r="F29" s="45">
        <f>SUBTOTAL(109,Tabelle1[Summe Zeit])</f>
        <v>0</v>
      </c>
      <c r="G29" s="36"/>
    </row>
    <row r="30" spans="1:7" s="15" customFormat="1" ht="15.5" customHeight="1" x14ac:dyDescent="0.35">
      <c r="A30" s="37"/>
      <c r="B30" s="9"/>
      <c r="C30" s="38"/>
      <c r="D30" s="38"/>
      <c r="E30" s="38"/>
      <c r="F30" s="39"/>
      <c r="G30" s="12"/>
    </row>
    <row r="31" spans="1:7" s="15" customFormat="1" ht="15.5" customHeight="1" x14ac:dyDescent="0.35">
      <c r="A31" s="57" t="s">
        <v>14</v>
      </c>
      <c r="B31" s="52"/>
      <c r="C31" s="58" t="s">
        <v>15</v>
      </c>
      <c r="D31" s="48"/>
      <c r="E31" s="52"/>
      <c r="F31" s="51" t="s">
        <v>16</v>
      </c>
      <c r="G31" s="52"/>
    </row>
    <row r="32" spans="1:7" s="15" customFormat="1" ht="31.25" customHeight="1" x14ac:dyDescent="0.35">
      <c r="A32" s="54">
        <f>$C$7*60/1440</f>
        <v>0</v>
      </c>
      <c r="B32" s="55"/>
      <c r="C32" s="54">
        <f>Tabelle1[[#Totals],[Summe Zeit]]/1440</f>
        <v>0</v>
      </c>
      <c r="D32" s="55"/>
      <c r="E32" s="56"/>
      <c r="F32" s="54">
        <f>ABS(C32-A32)</f>
        <v>0</v>
      </c>
      <c r="G32" s="55"/>
    </row>
    <row r="33" spans="1:7" s="15" customFormat="1" ht="15.5" customHeight="1" x14ac:dyDescent="0.35">
      <c r="A33" s="13"/>
      <c r="B33" s="13"/>
      <c r="C33" s="13"/>
      <c r="D33" s="13"/>
      <c r="E33" s="13"/>
      <c r="F33" s="13"/>
      <c r="G33" s="13"/>
    </row>
  </sheetData>
  <sheetProtection algorithmName="SHA-512" hashValue="O6qruKqfHk6ijjlA3ETq1C3qDDbJJhSnbjV3rD/48lJZ3c/TeOjGQoKObL8cRQmUYXY/MRmRYeYX7wixoWvgHg==" saltValue="adVFvDA7fG289mllICikBQ==" spinCount="100000" sheet="1" objects="1" scenarios="1"/>
  <mergeCells count="10">
    <mergeCell ref="A32:B32"/>
    <mergeCell ref="C32:E32"/>
    <mergeCell ref="F32:G32"/>
    <mergeCell ref="A31:B31"/>
    <mergeCell ref="C31:E31"/>
    <mergeCell ref="A7:B7"/>
    <mergeCell ref="A5:B5"/>
    <mergeCell ref="F31:G31"/>
    <mergeCell ref="A8:B8"/>
    <mergeCell ref="A6:B6"/>
  </mergeCells>
  <conditionalFormatting sqref="F32:G32">
    <cfRule type="expression" dxfId="0" priority="1">
      <formula>$A32&lt;$C32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&amp;LV5.0 autom
&amp;RC3 - Vertraulich</firstHeader>
    <firstFooter>&amp;L&amp;7Wegpiraten GmbH
Hauptstraße 47
3800 Unterlakjen&amp;C&amp;7 Tel: 076 790 67 56
             E-Mail: info@wegpiraten.ch
 www.wegpiraten.ch&amp;R&amp;7 &amp;K000000Sozialpädagogische        &amp;K00+000A
Familienbegleitung          F</first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Eckhard Zemp</dc:creator>
  <cp:lastModifiedBy>Gnothi Sauton</cp:lastModifiedBy>
  <cp:lastPrinted>2024-02-04T10:57:13Z</cp:lastPrinted>
  <dcterms:created xsi:type="dcterms:W3CDTF">1999-08-26T05:56:43Z</dcterms:created>
  <dcterms:modified xsi:type="dcterms:W3CDTF">2026-02-27T11:49:44Z</dcterms:modified>
</cp:coreProperties>
</file>