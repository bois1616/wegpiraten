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 workbookAlgorithmName="SHA-512" workbookHashValue="9r/TxM3zBcSjnJTI/hP9y4R5VkDU9X45pyxBQ1SRhdgGa0G4N9+kmOzqUscJS/8FfSdUOZhKQAU6CU1O1OaWPA==" workbookSaltValue="Ey8SgEponXL1upYzdwO0ww==" workbookSpinCount="100000"/>
  <bookViews>
    <workbookView visibility="visible" minimized="0" showHorizontalScroll="1" showVerticalScroll="1" showSheetTabs="1" xWindow="-96" yWindow="-96" windowWidth="20928" windowHeight="12432" tabRatio="709" firstSheet="0" activeTab="0" autoFilterDateGrouping="1"/>
  </bookViews>
  <sheets>
    <sheet xmlns:r="http://schemas.openxmlformats.org/officeDocument/2006/relationships" name="Arbeitszeit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&quot;Fr.&quot;\ * #,##0.00_ ;_ &quot;Fr.&quot;\ * \-#,##0.00_ ;_ &quot;Fr.&quot;\ * &quot;-&quot;??_ ;_ @_ "/>
    <numFmt numFmtId="165" formatCode="[$-407]mmmm\ yy;@"/>
    <numFmt numFmtId="166" formatCode="0&quot; min&quot;"/>
    <numFmt numFmtId="167" formatCode="[h]&quot;h&quot;mm&quot;m&quot;"/>
  </numFmts>
  <fonts count="15">
    <font>
      <name val="Arial"/>
      <sz val="10"/>
    </font>
    <font>
      <name val="Calibri"/>
      <family val="2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sz val="17"/>
      <scheme val="minor"/>
    </font>
    <font>
      <name val="Calibri"/>
      <family val="2"/>
      <sz val="11"/>
      <scheme val="minor"/>
    </font>
    <font>
      <name val="Calibri"/>
      <family val="2"/>
      <b val="1"/>
      <sz val="12"/>
      <scheme val="minor"/>
    </font>
    <font>
      <name val="Calibri"/>
      <family val="2"/>
      <sz val="12"/>
      <scheme val="minor"/>
    </font>
    <font>
      <name val="Calibri"/>
      <family val="2"/>
      <sz val="10"/>
    </font>
    <font>
      <name val="Arial"/>
      <family val="2"/>
      <sz val="10"/>
    </font>
    <font>
      <name val="Calibri"/>
      <family val="2"/>
      <sz val="11"/>
    </font>
    <font>
      <name val="Calibri"/>
      <family val="2"/>
      <b val="1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1" fillId="2" borderId="11"/>
    <xf numFmtId="0" fontId="12" fillId="3" borderId="11"/>
  </cellStyleXfs>
  <cellXfs count="56">
    <xf numFmtId="0" fontId="0" fillId="0" borderId="0" pivotButton="0" quotePrefix="0" xfId="0"/>
    <xf numFmtId="20" fontId="7" fillId="0" borderId="2" applyAlignment="1" applyProtection="1" pivotButton="0" quotePrefix="0" xfId="0">
      <alignment horizontal="center"/>
      <protection locked="0" hidden="0"/>
    </xf>
    <xf numFmtId="0" fontId="7" fillId="0" borderId="2" applyAlignment="1" applyProtection="1" pivotButton="0" quotePrefix="0" xfId="0">
      <alignment horizontal="center"/>
      <protection locked="0" hidden="0"/>
    </xf>
    <xf numFmtId="0" fontId="7" fillId="0" borderId="7" applyAlignment="1" applyProtection="1" pivotButton="0" quotePrefix="0" xfId="0">
      <alignment horizontal="center"/>
      <protection locked="0" hidden="0"/>
    </xf>
    <xf numFmtId="2" fontId="7" fillId="0" borderId="3" applyAlignment="1" applyProtection="1" pivotButton="0" quotePrefix="0" xfId="0">
      <alignment horizontal="left" wrapText="1"/>
      <protection locked="0" hidden="0"/>
    </xf>
    <xf numFmtId="2" fontId="7" fillId="0" borderId="8" applyAlignment="1" applyProtection="1" pivotButton="0" quotePrefix="0" xfId="0">
      <alignment horizontal="left" wrapText="1"/>
      <protection locked="0" hidden="0"/>
    </xf>
    <xf numFmtId="49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17" fontId="7" fillId="0" borderId="2" applyAlignment="1" applyProtection="1" pivotButton="0" quotePrefix="0" xfId="0">
      <alignment horizontal="center"/>
      <protection locked="0" hidden="0"/>
    </xf>
    <xf numFmtId="49" fontId="3" fillId="0" borderId="0" pivotButton="0" quotePrefix="0" xfId="0"/>
    <xf numFmtId="0" fontId="3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0" fillId="0" borderId="5" applyAlignment="1" pivotButton="0" quotePrefix="0" xfId="0">
      <alignment horizontal="right"/>
    </xf>
    <xf numFmtId="0" fontId="8" fillId="0" borderId="5" applyAlignment="1" pivotButton="0" quotePrefix="0" xfId="0">
      <alignment horizontal="right"/>
    </xf>
    <xf numFmtId="165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2" fontId="7" fillId="0" borderId="5" applyAlignment="1" pivotButton="0" quotePrefix="0" xfId="0">
      <alignment horizontal="left" vertical="center"/>
    </xf>
    <xf numFmtId="49" fontId="4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14" fillId="0" borderId="11" applyAlignment="1" pivotButton="0" quotePrefix="0" xfId="1">
      <alignment horizontal="center" vertical="center" wrapText="1"/>
    </xf>
    <xf numFmtId="49" fontId="14" fillId="0" borderId="11" applyAlignment="1" pivotButton="0" quotePrefix="0" xfId="1">
      <alignment horizontal="center" vertical="center" wrapText="1"/>
    </xf>
    <xf numFmtId="164" fontId="14" fillId="0" borderId="11" applyAlignment="1" pivotButton="0" quotePrefix="0" xfId="1">
      <alignment horizontal="center" vertical="center" wrapText="1"/>
    </xf>
    <xf numFmtId="0" fontId="13" fillId="0" borderId="11" applyAlignment="1" pivotButton="0" quotePrefix="0" xfId="2">
      <alignment horizontal="center" vertical="center" wrapText="1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6" fontId="7" fillId="0" borderId="4" applyAlignment="1" applyProtection="1" pivotButton="0" quotePrefix="0" xfId="0">
      <alignment horizontal="center" vertical="center"/>
      <protection locked="0" hidden="0"/>
    </xf>
    <xf numFmtId="166" fontId="2" fillId="0" borderId="4" applyAlignment="1" pivotButton="0" quotePrefix="0" xfId="0">
      <alignment horizontal="center" vertical="center"/>
    </xf>
    <xf numFmtId="166" fontId="7" fillId="0" borderId="6" applyAlignment="1" applyProtection="1" pivotButton="0" quotePrefix="0" xfId="0">
      <alignment horizontal="center" vertical="center"/>
      <protection locked="0" hidden="0"/>
    </xf>
    <xf numFmtId="166" fontId="2" fillId="0" borderId="6" applyAlignment="1" pivotButton="0" quotePrefix="0" xfId="0">
      <alignment horizontal="center" vertical="center"/>
    </xf>
    <xf numFmtId="166" fontId="10" fillId="0" borderId="10" applyAlignment="1" pivotButton="0" quotePrefix="0" xfId="0">
      <alignment horizontal="center" vertical="center"/>
    </xf>
    <xf numFmtId="166" fontId="2" fillId="0" borderId="10" applyAlignment="1" pivotButton="0" quotePrefix="0" xfId="0">
      <alignment horizontal="center" vertical="center"/>
    </xf>
    <xf numFmtId="1" fontId="9" fillId="0" borderId="5" applyAlignment="1" pivotButton="0" quotePrefix="0" xfId="0">
      <alignment horizontal="left" vertical="center"/>
    </xf>
    <xf numFmtId="164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/>
    </xf>
    <xf numFmtId="167" fontId="2" fillId="0" borderId="0" applyAlignment="1" pivotButton="0" quotePrefix="1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/>
    </xf>
    <xf numFmtId="0" fontId="7" fillId="0" borderId="9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" fontId="7" fillId="0" borderId="4" applyAlignment="1" applyProtection="1" pivotButton="0" quotePrefix="0" xfId="0">
      <alignment horizontal="center"/>
      <protection locked="0" hidden="0"/>
    </xf>
    <xf numFmtId="1" fontId="7" fillId="0" borderId="6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vertical="center" readingOrder="1"/>
    </xf>
    <xf numFmtId="0" fontId="0" fillId="0" borderId="1" pivotButton="0" quotePrefix="0" xfId="0"/>
    <xf numFmtId="0" fontId="4" fillId="0" borderId="5" applyAlignment="1" pivotButton="0" quotePrefix="0" xfId="0">
      <alignment horizontal="left" readingOrder="1"/>
    </xf>
    <xf numFmtId="0" fontId="0" fillId="0" borderId="5" pivotButton="0" quotePrefix="0" xfId="0"/>
    <xf numFmtId="49" fontId="4" fillId="0" borderId="1" pivotButton="0" quotePrefix="0" xfId="0"/>
  </cellXfs>
  <cellStyles count="3">
    <cellStyle name="Standard" xfId="0" builtinId="0"/>
    <cellStyle name="Eingabe" xfId="1" builtinId="20"/>
    <cellStyle name="Berechnung" xfId="2" builtinId="22"/>
  </cellStyles>
  <dxfs count="24">
    <dxf>
      <fill>
        <patternFill patternType="solid">
          <fgColor rgb="FFB3FFD9"/>
          <bgColor rgb="FFB3FFD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CCCC"/>
          <bgColor rgb="FFFFCCCC"/>
        </patternFill>
      </fill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2" formatCode="0.00"/>
      <fill>
        <patternFill>
          <fgColor indexed="64"/>
          <bgColor auto="1"/>
        </patternFill>
      </fill>
      <alignment horizontal="left" vertical="bottom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alignment horizontal="right" vertical="bottom"/>
      <border outline="0">
        <left/>
        <right style="thin">
          <color indexed="64"/>
        </right>
        <top/>
        <bottom/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  <alignment horizontal="center" vertical="center"/>
      <protection locked="1" hidden="0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B3FFD9"/>
          <bgColor rgb="00B3FF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6</col>
      <colOff>2904292</colOff>
      <row>0</row>
      <rowOff>38100</rowOff>
    </from>
    <to>
      <col>7</col>
      <colOff>54239</colOff>
      <row>8</row>
      <rowOff>74792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914442" y="38100"/>
          <a:ext cx="1830010" cy="154799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elle1" displayName="Tabelle1" ref="A10:G29" headerRowCount="1" totalsRowCount="1" headerRowDxfId="20" dataDxfId="19" totalsRowDxfId="17" tableBorderDxfId="18">
  <autoFilter ref="A10:G28"/>
  <tableColumns count="7">
    <tableColumn id="1" name="Uhrzeit" dataDxfId="16" totalsRowDxfId="15"/>
    <tableColumn id="2" name="Datum" totalsRowLabel="Insgesamt" dataDxfId="14" totalsRowDxfId="13"/>
    <tableColumn id="3" name="Fahrtzeit" totalsRowFunction="custom" dataDxfId="12" totalsRowDxfId="11">
      <totalsRowFormula>ROUNDUP(SUBTOTAL(109,Tabelle1[Fahrtzeit])/5,0)*5</totalsRowFormula>
    </tableColumn>
    <tableColumn id="5" name="Direkter Fallkontakt" totalsRowFunction="custom" dataDxfId="10" totalsRowDxfId="9">
      <totalsRowFormula>ROUNDUP(SUBTOTAL(109,Tabelle1[Direkter Fallkontakt])/5,0)*5</totalsRowFormula>
    </tableColumn>
    <tableColumn id="6" name="Indirekte Fallbearbeitung" totalsRowFunction="custom" dataDxfId="8" totalsRowDxfId="7">
      <totalsRowFormula>ROUNDUP(SUBTOTAL(109,Tabelle1[Indirekte Fallbearbeitung])/5,0)*5</totalsRowFormula>
    </tableColumn>
    <tableColumn id="7" name="Summe Zeit" totalsRowFunction="sum" dataDxfId="6" totalsRowDxfId="5">
      <calculatedColumnFormula>SUM(ROUNDUP(Tabelle1[[#This Row],[Fahrtzeit]]/5,0)*5, ROUNDUP(Tabelle1[[#This Row],[Direkter Fallkontakt]]/5,0)*5,ROUNDUP(Tabelle1[[#This Row],[Indirekte Fallbearbeitung]]/5,0)*5)</calculatedColumnFormula>
    </tableColumn>
    <tableColumn id="8" name="Notizen           " dataDxfId="4" totalsRow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G33"/>
  <sheetViews>
    <sheetView showGridLines="0" tabSelected="1" view="pageLayout" topLeftCell="A10" zoomScaleNormal="100" workbookViewId="0">
      <selection activeCell="G30" sqref="G30"/>
    </sheetView>
  </sheetViews>
  <sheetFormatPr baseColWidth="10" defaultColWidth="11.27734375" defaultRowHeight="12.9"/>
  <cols>
    <col width="11.83203125" customWidth="1" style="6" min="1" max="1"/>
    <col width="11.27734375" customWidth="1" style="7" min="2" max="2"/>
    <col width="9.27734375" customWidth="1" style="8" min="3" max="3"/>
    <col width="12.88671875" customWidth="1" style="8" min="4" max="4"/>
    <col width="13.83203125" customWidth="1" style="9" min="5" max="5"/>
    <col width="12.83203125" customWidth="1" style="8" min="6" max="6"/>
    <col width="66.71875" customWidth="1" style="10" min="7" max="7"/>
    <col width="11.27734375" customWidth="1" style="11" min="8" max="8"/>
    <col width="11.27734375" customWidth="1" style="11" min="9" max="16384"/>
  </cols>
  <sheetData>
    <row r="3" ht="22" customHeight="1">
      <c r="A3" s="15" t="inlineStr">
        <is>
          <t xml:space="preserve">        </t>
        </is>
      </c>
      <c r="B3" s="16" t="inlineStr">
        <is>
          <t>Zeiterfassung</t>
        </is>
      </c>
    </row>
    <row r="5" ht="14.5" customHeight="1">
      <c r="A5" s="53" t="inlineStr">
        <is>
          <t>Mitarbeiter*in:</t>
        </is>
      </c>
      <c r="B5" s="54" t="n"/>
      <c r="C5" s="17" t="n"/>
      <c r="D5" s="17" t="n"/>
      <c r="E5" s="18" t="inlineStr">
        <is>
          <t>Ma-Nr.:</t>
        </is>
      </c>
      <c r="F5" s="19" t="n"/>
    </row>
    <row r="6" ht="14.5" customHeight="1">
      <c r="A6" s="51" t="inlineStr">
        <is>
          <t>Monat/Jahr:</t>
        </is>
      </c>
      <c r="B6" s="52" t="n"/>
      <c r="C6" s="20" t="n"/>
      <c r="D6" s="21" t="n"/>
      <c r="E6" s="18" t="n"/>
      <c r="F6" s="22" t="n"/>
    </row>
    <row r="7" ht="14.5" customHeight="1">
      <c r="A7" s="51" t="inlineStr">
        <is>
          <t>Max Stunden/Monat:</t>
        </is>
      </c>
      <c r="B7" s="52" t="n"/>
      <c r="C7" s="40" t="n"/>
      <c r="D7" s="23" t="n"/>
      <c r="E7" s="19" t="inlineStr">
        <is>
          <t>Leistungstyp:</t>
        </is>
      </c>
      <c r="F7" s="22" t="n"/>
    </row>
    <row r="8" ht="14.5" customHeight="1">
      <c r="A8" s="55" t="inlineStr">
        <is>
          <t>Klient*in:</t>
        </is>
      </c>
      <c r="B8" s="52" t="n"/>
      <c r="C8" s="21" t="n"/>
      <c r="D8" s="21" t="n"/>
      <c r="E8" s="22" t="inlineStr">
        <is>
          <t>Klient-Nr.:</t>
        </is>
      </c>
      <c r="F8" s="22" t="n"/>
    </row>
    <row r="9" ht="14.5" customHeight="1">
      <c r="A9" s="24" t="n"/>
      <c r="B9" s="25" t="n"/>
      <c r="C9" s="26" t="n"/>
      <c r="D9" s="26" t="n"/>
      <c r="E9" s="27" t="n"/>
      <c r="F9" s="26" t="n"/>
    </row>
    <row r="10" ht="24.55" customHeight="1">
      <c r="A10" s="28" t="inlineStr">
        <is>
          <t>Uhrzeit</t>
        </is>
      </c>
      <c r="B10" s="29" t="inlineStr">
        <is>
          <t>Datum</t>
        </is>
      </c>
      <c r="C10" s="28" t="inlineStr">
        <is>
          <t>Fahrtzeit</t>
        </is>
      </c>
      <c r="D10" s="28" t="inlineStr">
        <is>
          <t>Direkter Fallkontakt</t>
        </is>
      </c>
      <c r="E10" s="30" t="inlineStr">
        <is>
          <t>Indirekte Fallbearbeitung</t>
        </is>
      </c>
      <c r="F10" s="31" t="inlineStr">
        <is>
          <t>Summe Zeit</t>
        </is>
      </c>
      <c r="G10" s="28" t="inlineStr">
        <is>
          <t xml:space="preserve">Notizen           </t>
        </is>
      </c>
    </row>
    <row r="11" ht="14.2" customHeight="1">
      <c r="A11" s="14" t="n"/>
      <c r="B11" s="49" t="n"/>
      <c r="C11" s="34" t="n"/>
      <c r="D11" s="34" t="n"/>
      <c r="E11" s="34" t="n"/>
      <c r="F11" s="35">
        <f>SUM(ROUNDUP(Tabelle1[[#This Row],[Fahrtzeit]]/5,0)*5, ROUNDUP(Tabelle1[[#This Row],[Direkter Fallkontakt]]/5,0)*5,ROUNDUP(Tabelle1[[#This Row],[Indirekte Fallbearbeitung]]/5,0)*5)</f>
        <v/>
      </c>
      <c r="G11" s="4" t="n"/>
    </row>
    <row r="12" ht="14.2" customHeight="1">
      <c r="A12" s="1" t="n"/>
      <c r="B12" s="49" t="n"/>
      <c r="C12" s="34" t="n"/>
      <c r="D12" s="34" t="n"/>
      <c r="E12" s="34" t="n"/>
      <c r="F12" s="35">
        <f>SUM(ROUNDUP(Tabelle1[[#This Row],[Fahrtzeit]]/5,0)*5, ROUNDUP(Tabelle1[[#This Row],[Direkter Fallkontakt]]/5,0)*5,ROUNDUP(Tabelle1[[#This Row],[Indirekte Fallbearbeitung]]/5,0)*5)</f>
        <v/>
      </c>
      <c r="G12" s="4" t="n"/>
    </row>
    <row r="13" ht="14.2" customHeight="1">
      <c r="A13" s="1" t="n"/>
      <c r="B13" s="49" t="n"/>
      <c r="C13" s="34" t="n"/>
      <c r="D13" s="34" t="n"/>
      <c r="E13" s="34" t="n"/>
      <c r="F13" s="35">
        <f>SUM(ROUNDUP(Tabelle1[[#This Row],[Fahrtzeit]]/5,0)*5, ROUNDUP(Tabelle1[[#This Row],[Direkter Fallkontakt]]/5,0)*5,ROUNDUP(Tabelle1[[#This Row],[Indirekte Fallbearbeitung]]/5,0)*5)</f>
        <v/>
      </c>
      <c r="G13" s="4" t="n"/>
    </row>
    <row r="14" ht="14.2" customHeight="1">
      <c r="A14" s="1" t="n"/>
      <c r="B14" s="49" t="n"/>
      <c r="C14" s="34" t="n"/>
      <c r="D14" s="34" t="n"/>
      <c r="E14" s="34" t="n"/>
      <c r="F14" s="35">
        <f>SUM(ROUNDUP(Tabelle1[[#This Row],[Fahrtzeit]]/5,0)*5, ROUNDUP(Tabelle1[[#This Row],[Direkter Fallkontakt]]/5,0)*5,ROUNDUP(Tabelle1[[#This Row],[Indirekte Fallbearbeitung]]/5,0)*5)</f>
        <v/>
      </c>
      <c r="G14" s="4" t="n"/>
    </row>
    <row r="15" ht="14.2" customHeight="1">
      <c r="A15" s="1" t="n"/>
      <c r="B15" s="49" t="n"/>
      <c r="C15" s="34" t="n"/>
      <c r="D15" s="34" t="n"/>
      <c r="E15" s="34" t="n"/>
      <c r="F15" s="35">
        <f>SUM(ROUNDUP(Tabelle1[[#This Row],[Fahrtzeit]]/5,0)*5, ROUNDUP(Tabelle1[[#This Row],[Direkter Fallkontakt]]/5,0)*5,ROUNDUP(Tabelle1[[#This Row],[Indirekte Fallbearbeitung]]/5,0)*5)</f>
        <v/>
      </c>
      <c r="G15" s="4" t="n"/>
    </row>
    <row r="16" ht="14.2" customFormat="1" customHeight="1" s="12">
      <c r="A16" s="1" t="n"/>
      <c r="B16" s="49" t="n"/>
      <c r="C16" s="34" t="n"/>
      <c r="D16" s="34" t="n"/>
      <c r="E16" s="34" t="n"/>
      <c r="F16" s="35">
        <f>SUM(ROUNDUP(Tabelle1[[#This Row],[Fahrtzeit]]/5,0)*5, ROUNDUP(Tabelle1[[#This Row],[Direkter Fallkontakt]]/5,0)*5,ROUNDUP(Tabelle1[[#This Row],[Indirekte Fallbearbeitung]]/5,0)*5)</f>
        <v/>
      </c>
      <c r="G16" s="4" t="n"/>
    </row>
    <row r="17" ht="14.2" customFormat="1" customHeight="1" s="13">
      <c r="A17" s="1" t="n"/>
      <c r="B17" s="49" t="n"/>
      <c r="C17" s="34" t="n"/>
      <c r="D17" s="34" t="n"/>
      <c r="E17" s="34" t="n"/>
      <c r="F17" s="35">
        <f>SUM(ROUNDUP(Tabelle1[[#This Row],[Fahrtzeit]]/5,0)*5, ROUNDUP(Tabelle1[[#This Row],[Direkter Fallkontakt]]/5,0)*5,ROUNDUP(Tabelle1[[#This Row],[Indirekte Fallbearbeitung]]/5,0)*5)</f>
        <v/>
      </c>
      <c r="G17" s="4" t="n"/>
    </row>
    <row r="18" ht="14.2" customFormat="1" customHeight="1" s="13">
      <c r="A18" s="2" t="n"/>
      <c r="B18" s="49" t="n"/>
      <c r="C18" s="34" t="n"/>
      <c r="D18" s="34" t="n"/>
      <c r="E18" s="34" t="n"/>
      <c r="F18" s="35">
        <f>SUM(ROUNDUP(Tabelle1[[#This Row],[Fahrtzeit]]/5,0)*5, ROUNDUP(Tabelle1[[#This Row],[Direkter Fallkontakt]]/5,0)*5,ROUNDUP(Tabelle1[[#This Row],[Indirekte Fallbearbeitung]]/5,0)*5)</f>
        <v/>
      </c>
      <c r="G18" s="4" t="n"/>
    </row>
    <row r="19" ht="14.2" customFormat="1" customHeight="1" s="13">
      <c r="A19" s="2" t="n"/>
      <c r="B19" s="49" t="n"/>
      <c r="C19" s="34" t="n"/>
      <c r="D19" s="34" t="n"/>
      <c r="E19" s="34" t="n"/>
      <c r="F19" s="35">
        <f>SUM(ROUNDUP(Tabelle1[[#This Row],[Fahrtzeit]]/5,0)*5, ROUNDUP(Tabelle1[[#This Row],[Direkter Fallkontakt]]/5,0)*5,ROUNDUP(Tabelle1[[#This Row],[Indirekte Fallbearbeitung]]/5,0)*5)</f>
        <v/>
      </c>
      <c r="G19" s="4" t="n"/>
    </row>
    <row r="20" ht="14.2" customFormat="1" customHeight="1" s="13">
      <c r="A20" s="2" t="n"/>
      <c r="B20" s="49" t="n"/>
      <c r="C20" s="34" t="n"/>
      <c r="D20" s="34" t="n"/>
      <c r="E20" s="34" t="n"/>
      <c r="F20" s="35">
        <f>SUM(ROUNDUP(Tabelle1[[#This Row],[Fahrtzeit]]/5,0)*5, ROUNDUP(Tabelle1[[#This Row],[Direkter Fallkontakt]]/5,0)*5,ROUNDUP(Tabelle1[[#This Row],[Indirekte Fallbearbeitung]]/5,0)*5)</f>
        <v/>
      </c>
      <c r="G20" s="4" t="n"/>
    </row>
    <row r="21" ht="14.2" customFormat="1" customHeight="1" s="13">
      <c r="A21" s="2" t="n"/>
      <c r="B21" s="49" t="n"/>
      <c r="C21" s="34" t="n"/>
      <c r="D21" s="34" t="n"/>
      <c r="E21" s="34" t="n"/>
      <c r="F21" s="35">
        <f>SUM(ROUNDUP(Tabelle1[[#This Row],[Fahrtzeit]]/5,0)*5, ROUNDUP(Tabelle1[[#This Row],[Direkter Fallkontakt]]/5,0)*5,ROUNDUP(Tabelle1[[#This Row],[Indirekte Fallbearbeitung]]/5,0)*5)</f>
        <v/>
      </c>
      <c r="G21" s="4" t="n"/>
    </row>
    <row r="22" ht="14.2" customFormat="1" customHeight="1" s="13">
      <c r="A22" s="2" t="n"/>
      <c r="B22" s="49" t="n"/>
      <c r="C22" s="34" t="n"/>
      <c r="D22" s="34" t="n"/>
      <c r="E22" s="34" t="n"/>
      <c r="F22" s="35">
        <f>SUM(ROUNDUP(Tabelle1[[#This Row],[Fahrtzeit]]/5,0)*5, ROUNDUP(Tabelle1[[#This Row],[Direkter Fallkontakt]]/5,0)*5,ROUNDUP(Tabelle1[[#This Row],[Indirekte Fallbearbeitung]]/5,0)*5)</f>
        <v/>
      </c>
      <c r="G22" s="4" t="n"/>
    </row>
    <row r="23" ht="14.2" customFormat="1" customHeight="1" s="13">
      <c r="A23" s="2" t="n"/>
      <c r="B23" s="49" t="n"/>
      <c r="C23" s="34" t="n"/>
      <c r="D23" s="34" t="n"/>
      <c r="E23" s="34" t="n"/>
      <c r="F23" s="35">
        <f>SUM(ROUNDUP(Tabelle1[[#This Row],[Fahrtzeit]]/5,0)*5, ROUNDUP(Tabelle1[[#This Row],[Direkter Fallkontakt]]/5,0)*5,ROUNDUP(Tabelle1[[#This Row],[Indirekte Fallbearbeitung]]/5,0)*5)</f>
        <v/>
      </c>
      <c r="G23" s="4" t="n"/>
    </row>
    <row r="24" ht="14.2" customFormat="1" customHeight="1" s="13">
      <c r="A24" s="2" t="n"/>
      <c r="B24" s="49" t="n"/>
      <c r="C24" s="34" t="n"/>
      <c r="D24" s="34" t="n"/>
      <c r="E24" s="34" t="n"/>
      <c r="F24" s="35">
        <f>SUM(ROUNDUP(Tabelle1[[#This Row],[Fahrtzeit]]/5,0)*5, ROUNDUP(Tabelle1[[#This Row],[Direkter Fallkontakt]]/5,0)*5,ROUNDUP(Tabelle1[[#This Row],[Indirekte Fallbearbeitung]]/5,0)*5)</f>
        <v/>
      </c>
      <c r="G24" s="4" t="n"/>
    </row>
    <row r="25" ht="14.2" customFormat="1" customHeight="1" s="13">
      <c r="A25" s="2" t="n"/>
      <c r="B25" s="49" t="n"/>
      <c r="C25" s="34" t="n"/>
      <c r="D25" s="34" t="n"/>
      <c r="E25" s="34" t="n"/>
      <c r="F25" s="35">
        <f>SUM(ROUNDUP(Tabelle1[[#This Row],[Fahrtzeit]]/5,0)*5, ROUNDUP(Tabelle1[[#This Row],[Direkter Fallkontakt]]/5,0)*5,ROUNDUP(Tabelle1[[#This Row],[Indirekte Fallbearbeitung]]/5,0)*5)</f>
        <v/>
      </c>
      <c r="G25" s="4" t="n"/>
    </row>
    <row r="26" ht="14.2" customFormat="1" customHeight="1" s="13">
      <c r="A26" s="2" t="n"/>
      <c r="B26" s="49" t="n"/>
      <c r="C26" s="34" t="n"/>
      <c r="D26" s="34" t="n"/>
      <c r="E26" s="34" t="n"/>
      <c r="F26" s="35">
        <f>SUM(ROUNDUP(Tabelle1[[#This Row],[Fahrtzeit]]/5,0)*5, ROUNDUP(Tabelle1[[#This Row],[Direkter Fallkontakt]]/5,0)*5,ROUNDUP(Tabelle1[[#This Row],[Indirekte Fallbearbeitung]]/5,0)*5)</f>
        <v/>
      </c>
      <c r="G26" s="4" t="n"/>
    </row>
    <row r="27" ht="14.2" customFormat="1" customHeight="1" s="13">
      <c r="A27" s="2" t="n"/>
      <c r="B27" s="49" t="n"/>
      <c r="C27" s="34" t="n"/>
      <c r="D27" s="34" t="n"/>
      <c r="E27" s="34" t="n"/>
      <c r="F27" s="35">
        <f>SUM(ROUNDUP(Tabelle1[[#This Row],[Fahrtzeit]]/5,0)*5, ROUNDUP(Tabelle1[[#This Row],[Direkter Fallkontakt]]/5,0)*5,ROUNDUP(Tabelle1[[#This Row],[Indirekte Fallbearbeitung]]/5,0)*5)</f>
        <v/>
      </c>
      <c r="G27" s="4" t="n"/>
    </row>
    <row r="28" ht="14.2" customFormat="1" customHeight="1" s="13">
      <c r="A28" s="3" t="n"/>
      <c r="B28" s="50" t="n"/>
      <c r="C28" s="36" t="n"/>
      <c r="D28" s="36" t="n"/>
      <c r="E28" s="36" t="n"/>
      <c r="F28" s="37">
        <f>SUM(ROUNDUP(Tabelle1[[#This Row],[Fahrtzeit]]/5,0)*5, ROUNDUP(Tabelle1[[#This Row],[Direkter Fallkontakt]]/5,0)*5,ROUNDUP(Tabelle1[[#This Row],[Indirekte Fallbearbeitung]]/5,0)*5)</f>
        <v/>
      </c>
      <c r="G28" s="5" t="n"/>
    </row>
    <row r="29" ht="15.55" customFormat="1" customHeight="1" s="13">
      <c r="A29" s="32" t="n"/>
      <c r="B29" s="47" t="inlineStr">
        <is>
          <t>Insgesamt</t>
        </is>
      </c>
      <c r="C29" s="38">
        <f>ROUNDUP(SUBTOTAL(109,Tabelle1[Fahrtzeit])/5,0)*5</f>
        <v/>
      </c>
      <c r="D29" s="38">
        <f>ROUNDUP(SUBTOTAL(109,Tabelle1[Direkter Fallkontakt])/5,0)*5</f>
        <v/>
      </c>
      <c r="E29" s="38">
        <f>ROUNDUP(SUBTOTAL(109,Tabelle1[Indirekte Fallbearbeitung])/5,0)*5</f>
        <v/>
      </c>
      <c r="F29" s="39">
        <f>SUBTOTAL(109,Tabelle1[Summe Zeit])</f>
        <v/>
      </c>
      <c r="G29" s="33" t="n"/>
    </row>
    <row r="30" ht="15.55" customFormat="1" customHeight="1" s="13">
      <c r="A30" s="41" t="n"/>
      <c r="B30" s="48" t="inlineStr">
        <is>
          <t>Obergrenze</t>
        </is>
      </c>
      <c r="C30" s="44" t="n"/>
      <c r="D30" s="44" t="n"/>
      <c r="E30" s="44" t="n"/>
      <c r="F30" s="45">
        <f>C30+D30+E30</f>
        <v/>
      </c>
      <c r="G30" s="10" t="n"/>
    </row>
    <row r="31" ht="15.55" customFormat="1" customHeight="1" s="13">
      <c r="A31" s="42" t="n"/>
      <c r="B31" s="48" t="inlineStr">
        <is>
          <t>Differenz</t>
        </is>
      </c>
      <c r="C31" s="44">
        <f>C30-C29</f>
        <v/>
      </c>
      <c r="D31" s="46">
        <f>D30-D29</f>
        <v/>
      </c>
      <c r="E31" s="46">
        <f>E30-E29</f>
        <v/>
      </c>
      <c r="F31" s="46">
        <f>F30-F29</f>
        <v/>
      </c>
    </row>
    <row r="32" ht="31.3" customFormat="1" customHeight="1" s="13">
      <c r="A32" s="43" t="n"/>
      <c r="C32" s="43" t="n"/>
      <c r="F32" s="43" t="n"/>
    </row>
    <row r="33" ht="15.55" customFormat="1" customHeight="1" s="13">
      <c r="A33" s="11" t="n"/>
      <c r="B33" s="11" t="n"/>
      <c r="C33" s="11" t="n"/>
      <c r="D33" s="11" t="n"/>
      <c r="E33" s="11" t="n"/>
      <c r="F33" s="11" t="n"/>
      <c r="G33" s="11" t="n"/>
    </row>
  </sheetData>
  <mergeCells count="4">
    <mergeCell ref="A8:B8"/>
    <mergeCell ref="A6:B6"/>
    <mergeCell ref="A7:B7"/>
    <mergeCell ref="A5:B5"/>
  </mergeCells>
  <conditionalFormatting sqref="C31:F31">
    <cfRule type="expression" priority="1" dxfId="21">
      <formula>C31&lt;0</formula>
    </cfRule>
    <cfRule type="expression" priority="2" dxfId="22">
      <formula>AND(C31&gt;=0,C31&lt;0.2*C30)</formula>
    </cfRule>
    <cfRule type="expression" priority="3" dxfId="23">
      <formula>C31&gt;=0.2*C30</formula>
    </cfRule>
  </conditionalFormatting>
  <pageMargins left="0.25" right="0.25" top="0.5" bottom="0.5" header="0.3" footer="0.3"/>
  <pageSetup orientation="landscape" paperSize="9"/>
  <headerFooter differentFirst="1">
    <oddHeader/>
    <oddFooter>&amp;L&amp;9 Wegpiraten GmbH_x000a_Alpenstrasse 2_x000a_3800 Interlaken&amp;C&amp;9 Tel: 076 790 67 56_x000a_             E-Mail: info@wegpiraten.ch_x000a_ www.wegpiraten.ch&amp;R&amp;9 &amp;K000000Sozialpädagogische_x000a_Familienbegleitung&amp;K00+000A</oddFooter>
    <evenHeader/>
    <evenFooter/>
    <firstHeader>&amp;LV5.2 autom_x000a_&amp;RC3 - Vertraulich</firstHeader>
    <firstFooter>&amp;L&amp;7 Wegpiraten GmbH_x000a_Hauptstraße 47_x000a_3800 Unterlakjen&amp;C&amp;7 Tel: 076 790 67 56_x000a_             E-Mail: info@wegpiraten.ch_x000a_ www.wegpiraten.ch&amp;R&amp;7 &amp;K000000Sozialpädagogische        &amp;K00+000A_x000a_Familienbegleitung          F</firstFooter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Eckhard Zemp</dc:creator>
  <dcterms:created xmlns:dcterms="http://purl.org/dc/terms/" xmlns:xsi="http://www.w3.org/2001/XMLSchema-instance" xsi:type="dcterms:W3CDTF">1999-08-26T05:56:43Z</dcterms:created>
  <dcterms:modified xmlns:dcterms="http://purl.org/dc/terms/" xmlns:xsi="http://www.w3.org/2001/XMLSchema-instance" xsi:type="dcterms:W3CDTF">2026-03-05T21:12:45Z</dcterms:modified>
  <cp:lastModifiedBy>Gnothi Sauton</cp:lastModifiedBy>
  <cp:lastPrinted>2024-02-04T10:57:13Z</cp:lastPrinted>
</cp:coreProperties>
</file>