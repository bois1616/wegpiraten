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$\Debian\home\stephan\projects\wegpiraten\templates\"/>
    </mc:Choice>
  </mc:AlternateContent>
  <xr:revisionPtr revIDLastSave="0" documentId="13_ncr:1_{9A5A7747-D8EA-493A-BA48-D989268B5E51}" xr6:coauthVersionLast="47" xr6:coauthVersionMax="47" xr10:uidLastSave="{00000000-0000-0000-0000-000000000000}"/>
  <workbookProtection workbookAlgorithmName="SHA-512" workbookHashValue="9r/TxM3zBcSjnJTI/hP9y4R5VkDU9X45pyxBQ1SRhdgGa0G4N9+kmOzqUscJS/8FfSdUOZhKQAU6CU1O1OaWPA==" workbookSaltValue="Ey8SgEponXL1upYzdwO0ww==" workbookSpinCount="100000" lockStructure="1"/>
  <bookViews>
    <workbookView xWindow="59880" yWindow="8400" windowWidth="28800" windowHeight="14970" tabRatio="709" xr2:uid="{00000000-000D-0000-FFFF-FFFF00000000}"/>
  </bookViews>
  <sheets>
    <sheet name="Arbeitszeiterfass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21" i="1"/>
  <c r="G22" i="1"/>
  <c r="G23" i="1"/>
  <c r="G24" i="1"/>
  <c r="G25" i="1"/>
  <c r="G26" i="1"/>
  <c r="G27" i="1"/>
  <c r="F30" i="1"/>
  <c r="E29" i="1"/>
  <c r="E31" i="1" s="1"/>
  <c r="D29" i="1"/>
  <c r="D31" i="1" s="1"/>
  <c r="C29" i="1"/>
  <c r="C31" i="1" s="1"/>
  <c r="F28" i="1"/>
  <c r="G28" i="1" s="1"/>
  <c r="F27" i="1"/>
  <c r="F26" i="1"/>
  <c r="F25" i="1"/>
  <c r="F24" i="1"/>
  <c r="F23" i="1"/>
  <c r="F22" i="1"/>
  <c r="F21" i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F29" i="1" l="1"/>
  <c r="C33" i="1"/>
  <c r="F31" i="1" l="1"/>
  <c r="G29" i="1"/>
</calcChain>
</file>

<file path=xl/sharedStrings.xml><?xml version="1.0" encoding="utf-8"?>
<sst xmlns="http://schemas.openxmlformats.org/spreadsheetml/2006/main" count="19" uniqueCount="19">
  <si>
    <t>Zeiterfassung</t>
  </si>
  <si>
    <t>Mitarbeiter*in:</t>
  </si>
  <si>
    <t>Ma-Nr.:</t>
  </si>
  <si>
    <t>Monat/Jahr:</t>
  </si>
  <si>
    <t>Max Stunden/Monat:</t>
  </si>
  <si>
    <t>Leistungstyp:</t>
  </si>
  <si>
    <t>Klient*in:</t>
  </si>
  <si>
    <t>Auftrag-Nr.:</t>
  </si>
  <si>
    <t>Uhrzeit</t>
  </si>
  <si>
    <t>Datum</t>
  </si>
  <si>
    <t>Fahrzeit</t>
  </si>
  <si>
    <t>Direkter Fallkontakt</t>
  </si>
  <si>
    <t>Indirekte Fallbearbeitung</t>
  </si>
  <si>
    <t xml:space="preserve">Notizen           </t>
  </si>
  <si>
    <t>Insgesamt</t>
  </si>
  <si>
    <t>Soll</t>
  </si>
  <si>
    <t>Differenz</t>
  </si>
  <si>
    <t>Summe h</t>
  </si>
  <si>
    <t>Summe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</si>
</sst>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Fr.&quot;\ * #,##0.00_ ;_ &quot;Fr.&quot;\ * \-#,##0.00_ ;_ &quot;Fr.&quot;\ * &quot;-&quot;??_ ;_ @_ "/>
    <numFmt numFmtId="165" formatCode="[$-407]mmmm\ yy;@"/>
    <numFmt numFmtId="166" formatCode="0&quot; min&quot;"/>
    <numFmt numFmtId="167" formatCode="[h]&quot;h&quot;mm&quot;m&quot;"/>
    <numFmt numFmtId="168" formatCode="[h]:mm"/>
  </numFmts>
  <fonts count="15" x14ac:knownFonts="1"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7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0"/>
      <name val="Calibri"/>
      <family val="2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1" fillId="2" borderId="11"/>
    <xf numFmtId="0" fontId="12" fillId="3" borderId="11"/>
  </cellStyleXfs>
  <cellXfs count="62">
    <xf numFmtId="0" fontId="0" fillId="0" borderId="0" xfId="0"/>
    <xf numFmtId="20" fontId="7" fillId="0" borderId="2" xfId="0" applyNumberFormat="1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2" fontId="7" fillId="0" borderId="3" xfId="0" applyNumberFormat="1" applyFont="1" applyBorder="1" applyAlignment="1" applyProtection="1">
      <alignment horizontal="left" wrapText="1"/>
      <protection locked="0"/>
    </xf>
    <xf numFmtId="2" fontId="7" fillId="0" borderId="8" xfId="0" applyNumberFormat="1" applyFont="1" applyBorder="1" applyAlignment="1" applyProtection="1">
      <alignment horizontal="left" wrapText="1"/>
      <protection locked="0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7" fontId="7" fillId="0" borderId="2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0" fillId="0" borderId="5" xfId="0" applyBorder="1" applyAlignment="1">
      <alignment horizontal="right"/>
    </xf>
    <xf numFmtId="0" fontId="8" fillId="0" borderId="5" xfId="0" applyFont="1" applyBorder="1" applyAlignment="1">
      <alignment horizontal="right"/>
    </xf>
    <xf numFmtId="165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2" fontId="7" fillId="0" borderId="5" xfId="0" applyNumberFormat="1" applyFont="1" applyBorder="1" applyAlignment="1">
      <alignment horizontal="left" vertical="center"/>
    </xf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4" fillId="0" borderId="11" xfId="1" applyFont="1" applyFill="1" applyAlignment="1">
      <alignment horizontal="center" vertical="center" wrapText="1"/>
    </xf>
    <xf numFmtId="49" fontId="14" fillId="0" borderId="11" xfId="1" applyNumberFormat="1" applyFont="1" applyFill="1" applyAlignment="1">
      <alignment horizontal="center" vertical="center" wrapText="1"/>
    </xf>
    <xf numFmtId="164" fontId="14" fillId="0" borderId="11" xfId="1" applyNumberFormat="1" applyFont="1" applyFill="1" applyAlignment="1">
      <alignment horizontal="center" vertical="center" wrapText="1"/>
    </xf>
    <xf numFmtId="0" fontId="13" fillId="0" borderId="11" xfId="2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166" fontId="2" fillId="0" borderId="4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 applyProtection="1">
      <alignment horizontal="center" vertical="center"/>
      <protection locked="0"/>
    </xf>
    <xf numFmtId="166" fontId="2" fillId="0" borderId="6" xfId="0" applyNumberFormat="1" applyFont="1" applyBorder="1" applyAlignment="1">
      <alignment horizontal="center" vertical="center"/>
    </xf>
    <xf numFmtId="166" fontId="10" fillId="0" borderId="10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167" fontId="2" fillId="0" borderId="0" xfId="0" quotePrefix="1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0" fontId="7" fillId="0" borderId="9" xfId="0" applyFont="1" applyBorder="1" applyAlignment="1">
      <alignment horizontal="right"/>
    </xf>
    <xf numFmtId="0" fontId="2" fillId="0" borderId="0" xfId="0" applyFont="1" applyAlignment="1">
      <alignment horizontal="right"/>
    </xf>
    <xf numFmtId="167" fontId="2" fillId="0" borderId="0" xfId="0" quotePrefix="1" applyNumberFormat="1" applyFont="1" applyAlignment="1">
      <alignment horizontal="left" vertical="center"/>
    </xf>
    <xf numFmtId="49" fontId="7" fillId="0" borderId="4" xfId="0" applyNumberFormat="1" applyFont="1" applyBorder="1" applyAlignment="1" applyProtection="1">
      <alignment horizontal="center"/>
      <protection locked="0"/>
    </xf>
    <xf numFmtId="49" fontId="7" fillId="0" borderId="6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168" fontId="2" fillId="0" borderId="3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168" fontId="2" fillId="0" borderId="10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 applyProtection="1">
      <alignment vertical="center"/>
      <protection locked="0"/>
    </xf>
    <xf numFmtId="49" fontId="4" fillId="0" borderId="1" xfId="0" applyNumberFormat="1" applyFont="1" applyBorder="1"/>
    <xf numFmtId="0" fontId="0" fillId="0" borderId="1" xfId="0" applyBorder="1"/>
    <xf numFmtId="0" fontId="4" fillId="0" borderId="1" xfId="0" applyFont="1" applyBorder="1" applyAlignment="1">
      <alignment vertical="center" readingOrder="1"/>
    </xf>
    <xf numFmtId="0" fontId="4" fillId="0" borderId="5" xfId="0" applyFont="1" applyBorder="1" applyAlignment="1">
      <alignment horizontal="left" readingOrder="1"/>
    </xf>
    <xf numFmtId="0" fontId="0" fillId="0" borderId="5" xfId="0" applyBorder="1"/>
  </cellXfs>
  <cellStyles count="3">
    <cellStyle name="Berechnung" xfId="2" builtinId="22"/>
    <cellStyle name="Eingabe" xfId="1" builtinId="20"/>
    <cellStyle name="Standard" xfId="0" builtinId="0"/>
  </cellStyles>
  <dxfs count="25">
    <dxf>
      <font>
        <b/>
        <i val="0"/>
        <color theme="0"/>
      </font>
      <fill>
        <patternFill patternType="solid">
          <fgColor theme="5" tint="0.59996337778862885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solid">
          <fgColor rgb="FFB3FFD9"/>
          <bgColor rgb="FFB3FFD9"/>
        </patternFill>
      </fill>
    </dxf>
    <dxf>
      <fill>
        <patternFill patternType="solid">
          <fgColor rgb="FFFFFF99"/>
          <bgColor rgb="FFFFFF99"/>
        </patternFill>
      </fill>
    </dxf>
    <dxf>
      <font>
        <b/>
        <i val="0"/>
        <color theme="0"/>
      </font>
      <fill>
        <patternFill patternType="solid">
          <fgColor rgb="FFFFCCCC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2" formatCode="0.00"/>
      <fill>
        <patternFill>
          <fgColor indexed="64"/>
          <bgColor auto="1"/>
        </patternFill>
      </fill>
      <alignment horizontal="left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8" formatCode="[h]:m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8" formatCode="[h]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0&quot; min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  <scheme val="minor"/>
      </font>
      <numFmt numFmtId="166" formatCode="0&quot; min&quot;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0&quot; min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166" formatCode="0&quot; min&quot;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0&quot; min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166" formatCode="0&quot; min&quot;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0&quot; min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166" formatCode="0&quot; min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30" formatCode="@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auto="1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protection locked="1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2556390</xdr:colOff>
      <xdr:row>0</xdr:row>
      <xdr:rowOff>6446</xdr:rowOff>
    </xdr:from>
    <xdr:to>
      <xdr:col>7</xdr:col>
      <xdr:colOff>4383112</xdr:colOff>
      <xdr:row>8</xdr:row>
      <xdr:rowOff>49488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34648" y="6446"/>
          <a:ext cx="1826722" cy="154077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0:H29" totalsRowCount="1" headerRowDxfId="24" dataDxfId="23" totalsRowDxfId="21" tableBorderDxfId="22">
  <tableColumns count="8">
    <tableColumn id="1" xr3:uid="{00000000-0010-0000-0000-000001000000}" name="Uhrzeit" dataDxfId="20" totalsRowDxfId="19"/>
    <tableColumn id="2" xr3:uid="{00000000-0010-0000-0000-000002000000}" name="Datum" totalsRowLabel="Insgesamt" dataDxfId="18" totalsRowDxfId="17"/>
    <tableColumn id="3" xr3:uid="{00000000-0010-0000-0000-000003000000}" name="Fahrzeit" totalsRowFunction="custom" dataDxfId="16" totalsRowDxfId="15">
      <totalsRowFormula>ROUNDUP(SUBTOTAL(109,Tabelle1[Fahrzeit])/5,0)*5</totalsRowFormula>
    </tableColumn>
    <tableColumn id="5" xr3:uid="{00000000-0010-0000-0000-000005000000}" name="Direkter Fallkontakt" totalsRowFunction="custom" dataDxfId="14" totalsRowDxfId="13">
      <totalsRowFormula>ROUNDUP(SUBTOTAL(109,Tabelle1[Direkter Fallkontakt])/5,0)*5</totalsRowFormula>
    </tableColumn>
    <tableColumn id="6" xr3:uid="{00000000-0010-0000-0000-000006000000}" name="Indirekte Fallbearbeitung" totalsRowFunction="custom" dataDxfId="12" totalsRowDxfId="11">
      <totalsRowFormula>ROUNDUP(SUBTOTAL(109,Tabelle1[Indirekte Fallbearbeitung])/5,0)*5</totalsRowFormula>
    </tableColumn>
    <tableColumn id="7" xr3:uid="{00000000-0010-0000-0000-000007000000}" name="Summe min" totalsRowFunction="sum" dataDxfId="10" totalsRowDxfId="9">
      <calculatedColumnFormula>SUM(ROUNDUP(Tabelle1[[#This Row],[Fahrzeit]]/5,0)*5, ROUNDUP(Tabelle1[[#This Row],[Direkter Fallkontakt]]/5,0)*5,ROUNDUP(Tabelle1[[#This Row],[Indirekte Fallbearbeitung]]/5,0)*5)</calculatedColumnFormula>
    </tableColumn>
    <tableColumn id="4" xr3:uid="{AC106A25-B6EE-49FC-BF75-19497D970AE3}" name="Summe h" totalsRowFunction="custom" dataDxfId="8" totalsRowDxfId="7">
      <calculatedColumnFormula>Tabelle1[[#This Row],[Summe min]]/1440</calculatedColumnFormula>
      <totalsRowFormula>Tabelle1[[#Totals],[Summe min]]/1440</totalsRowFormula>
    </tableColumn>
    <tableColumn id="8" xr3:uid="{00000000-0010-0000-0000-000008000000}" name="Notizen           " dataDxfId="6" totalsRow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4"/>
  <sheetViews>
    <sheetView showGridLines="0" tabSelected="1" view="pageLayout" zoomScale="99" zoomScaleNormal="100" zoomScalePageLayoutView="99" workbookViewId="0">
      <selection activeCell="H34" sqref="H34"/>
    </sheetView>
  </sheetViews>
  <sheetFormatPr baseColWidth="10" defaultColWidth="11.26953125" defaultRowHeight="13" x14ac:dyDescent="0.3"/>
  <cols>
    <col min="1" max="1" width="11.81640625" style="6" customWidth="1"/>
    <col min="2" max="2" width="11.26953125" style="7" customWidth="1"/>
    <col min="3" max="3" width="9.26953125" style="8" customWidth="1"/>
    <col min="4" max="4" width="12.90625" style="8" customWidth="1"/>
    <col min="5" max="5" width="15.1796875" style="9" customWidth="1"/>
    <col min="6" max="6" width="9" style="8" customWidth="1"/>
    <col min="7" max="7" width="7.54296875" style="8" customWidth="1"/>
    <col min="8" max="8" width="64.08984375" style="10" customWidth="1"/>
    <col min="9" max="16384" width="11.26953125" style="11"/>
  </cols>
  <sheetData>
    <row r="3" spans="1:8" ht="22" customHeight="1" x14ac:dyDescent="0.5">
      <c r="A3" s="15" t="s">
        <v>0</v>
      </c>
    </row>
    <row r="5" spans="1:8" ht="14.5" customHeight="1" x14ac:dyDescent="0.35">
      <c r="A5" s="60" t="s">
        <v>1</v>
      </c>
      <c r="B5" s="61"/>
      <c r="C5" s="16"/>
      <c r="D5" s="16"/>
      <c r="E5" s="17" t="s">
        <v>2</v>
      </c>
      <c r="F5" s="18"/>
      <c r="G5" s="51"/>
    </row>
    <row r="6" spans="1:8" ht="14.5" customHeight="1" x14ac:dyDescent="0.3">
      <c r="A6" s="59" t="s">
        <v>3</v>
      </c>
      <c r="B6" s="58"/>
      <c r="C6" s="19"/>
      <c r="D6" s="20"/>
      <c r="E6" s="17"/>
      <c r="F6" s="21"/>
      <c r="G6" s="52"/>
    </row>
    <row r="7" spans="1:8" ht="14.5" customHeight="1" x14ac:dyDescent="0.3">
      <c r="A7" s="59" t="s">
        <v>4</v>
      </c>
      <c r="B7" s="58"/>
      <c r="C7" s="39"/>
      <c r="D7" s="22"/>
      <c r="E7" s="18" t="s">
        <v>5</v>
      </c>
      <c r="F7" s="21"/>
      <c r="G7" s="52"/>
    </row>
    <row r="8" spans="1:8" ht="14.5" customHeight="1" x14ac:dyDescent="0.35">
      <c r="A8" s="57" t="s">
        <v>6</v>
      </c>
      <c r="B8" s="58"/>
      <c r="C8" s="20"/>
      <c r="D8" s="20"/>
      <c r="E8" s="21" t="s">
        <v>7</v>
      </c>
      <c r="F8" s="21"/>
      <c r="G8" s="52"/>
    </row>
    <row r="9" spans="1:8" ht="14.5" customHeight="1" x14ac:dyDescent="0.35">
      <c r="A9" s="23"/>
      <c r="B9" s="24"/>
      <c r="C9" s="25"/>
      <c r="D9" s="25"/>
      <c r="E9" s="26"/>
      <c r="F9" s="25"/>
      <c r="G9" s="11"/>
    </row>
    <row r="10" spans="1:8" ht="29" customHeight="1" x14ac:dyDescent="0.3">
      <c r="A10" s="27" t="s">
        <v>8</v>
      </c>
      <c r="B10" s="28" t="s">
        <v>9</v>
      </c>
      <c r="C10" s="27" t="s">
        <v>10</v>
      </c>
      <c r="D10" s="27" t="s">
        <v>11</v>
      </c>
      <c r="E10" s="29" t="s">
        <v>12</v>
      </c>
      <c r="F10" s="30" t="s">
        <v>18</v>
      </c>
      <c r="G10" s="30" t="s">
        <v>17</v>
      </c>
      <c r="H10" s="27" t="s">
        <v>13</v>
      </c>
    </row>
    <row r="11" spans="1:8" ht="14.25" customHeight="1" x14ac:dyDescent="0.3">
      <c r="A11" s="14"/>
      <c r="B11" s="49"/>
      <c r="C11" s="33"/>
      <c r="D11" s="33"/>
      <c r="E11" s="33"/>
      <c r="F11" s="34">
        <f>SUM(ROUNDUP(Tabelle1[[#This Row],[Fahrzeit]]/5,0)*5, ROUNDUP(Tabelle1[[#This Row],[Direkter Fallkontakt]]/5,0)*5,ROUNDUP(Tabelle1[[#This Row],[Indirekte Fallbearbeitung]]/5,0)*5)</f>
        <v>0</v>
      </c>
      <c r="G11" s="53">
        <f>Tabelle1[[#This Row],[Summe min]]/1440</f>
        <v>0</v>
      </c>
      <c r="H11" s="4"/>
    </row>
    <row r="12" spans="1:8" ht="14.25" customHeight="1" x14ac:dyDescent="0.3">
      <c r="A12" s="1"/>
      <c r="B12" s="49"/>
      <c r="C12" s="33"/>
      <c r="D12" s="33"/>
      <c r="E12" s="33"/>
      <c r="F12" s="34">
        <f>SUM(ROUNDUP(Tabelle1[[#This Row],[Fahrzeit]]/5,0)*5, ROUNDUP(Tabelle1[[#This Row],[Direkter Fallkontakt]]/5,0)*5,ROUNDUP(Tabelle1[[#This Row],[Indirekte Fallbearbeitung]]/5,0)*5)</f>
        <v>0</v>
      </c>
      <c r="G12" s="53">
        <f>Tabelle1[[#This Row],[Summe min]]/1440</f>
        <v>0</v>
      </c>
      <c r="H12" s="4"/>
    </row>
    <row r="13" spans="1:8" ht="14.25" customHeight="1" x14ac:dyDescent="0.3">
      <c r="A13" s="1"/>
      <c r="B13" s="49"/>
      <c r="C13" s="33"/>
      <c r="D13" s="33"/>
      <c r="E13" s="33"/>
      <c r="F13" s="34">
        <f>SUM(ROUNDUP(Tabelle1[[#This Row],[Fahrzeit]]/5,0)*5, ROUNDUP(Tabelle1[[#This Row],[Direkter Fallkontakt]]/5,0)*5,ROUNDUP(Tabelle1[[#This Row],[Indirekte Fallbearbeitung]]/5,0)*5)</f>
        <v>0</v>
      </c>
      <c r="G13" s="53">
        <f>Tabelle1[[#This Row],[Summe min]]/1440</f>
        <v>0</v>
      </c>
      <c r="H13" s="4"/>
    </row>
    <row r="14" spans="1:8" ht="14.25" customHeight="1" x14ac:dyDescent="0.3">
      <c r="A14" s="1"/>
      <c r="B14" s="49"/>
      <c r="C14" s="33"/>
      <c r="D14" s="33"/>
      <c r="E14" s="33"/>
      <c r="F14" s="34">
        <f>SUM(ROUNDUP(Tabelle1[[#This Row],[Fahrzeit]]/5,0)*5, ROUNDUP(Tabelle1[[#This Row],[Direkter Fallkontakt]]/5,0)*5,ROUNDUP(Tabelle1[[#This Row],[Indirekte Fallbearbeitung]]/5,0)*5)</f>
        <v>0</v>
      </c>
      <c r="G14" s="53">
        <f>Tabelle1[[#This Row],[Summe min]]/1440</f>
        <v>0</v>
      </c>
      <c r="H14" s="4"/>
    </row>
    <row r="15" spans="1:8" ht="14.25" customHeight="1" x14ac:dyDescent="0.3">
      <c r="A15" s="1"/>
      <c r="B15" s="49"/>
      <c r="C15" s="33"/>
      <c r="D15" s="33"/>
      <c r="E15" s="33"/>
      <c r="F15" s="34">
        <f>SUM(ROUNDUP(Tabelle1[[#This Row],[Fahrzeit]]/5,0)*5, ROUNDUP(Tabelle1[[#This Row],[Direkter Fallkontakt]]/5,0)*5,ROUNDUP(Tabelle1[[#This Row],[Indirekte Fallbearbeitung]]/5,0)*5)</f>
        <v>0</v>
      </c>
      <c r="G15" s="53">
        <f>Tabelle1[[#This Row],[Summe min]]/1440</f>
        <v>0</v>
      </c>
      <c r="H15" s="4"/>
    </row>
    <row r="16" spans="1:8" s="12" customFormat="1" ht="14.25" customHeight="1" x14ac:dyDescent="0.35">
      <c r="A16" s="1"/>
      <c r="B16" s="49"/>
      <c r="C16" s="33"/>
      <c r="D16" s="33"/>
      <c r="E16" s="33"/>
      <c r="F16" s="34">
        <f>SUM(ROUNDUP(Tabelle1[[#This Row],[Fahrzeit]]/5,0)*5, ROUNDUP(Tabelle1[[#This Row],[Direkter Fallkontakt]]/5,0)*5,ROUNDUP(Tabelle1[[#This Row],[Indirekte Fallbearbeitung]]/5,0)*5)</f>
        <v>0</v>
      </c>
      <c r="G16" s="53">
        <f>Tabelle1[[#This Row],[Summe min]]/1440</f>
        <v>0</v>
      </c>
      <c r="H16" s="4"/>
    </row>
    <row r="17" spans="1:8" s="13" customFormat="1" ht="14.25" customHeight="1" x14ac:dyDescent="0.35">
      <c r="A17" s="1"/>
      <c r="B17" s="49"/>
      <c r="C17" s="33"/>
      <c r="D17" s="33"/>
      <c r="E17" s="33"/>
      <c r="F17" s="34">
        <f>SUM(ROUNDUP(Tabelle1[[#This Row],[Fahrzeit]]/5,0)*5, ROUNDUP(Tabelle1[[#This Row],[Direkter Fallkontakt]]/5,0)*5,ROUNDUP(Tabelle1[[#This Row],[Indirekte Fallbearbeitung]]/5,0)*5)</f>
        <v>0</v>
      </c>
      <c r="G17" s="53">
        <f>Tabelle1[[#This Row],[Summe min]]/1440</f>
        <v>0</v>
      </c>
      <c r="H17" s="4"/>
    </row>
    <row r="18" spans="1:8" s="13" customFormat="1" ht="14.25" customHeight="1" x14ac:dyDescent="0.35">
      <c r="A18" s="2"/>
      <c r="B18" s="49"/>
      <c r="C18" s="33"/>
      <c r="D18" s="33"/>
      <c r="E18" s="33"/>
      <c r="F18" s="34">
        <f>SUM(ROUNDUP(Tabelle1[[#This Row],[Fahrzeit]]/5,0)*5, ROUNDUP(Tabelle1[[#This Row],[Direkter Fallkontakt]]/5,0)*5,ROUNDUP(Tabelle1[[#This Row],[Indirekte Fallbearbeitung]]/5,0)*5)</f>
        <v>0</v>
      </c>
      <c r="G18" s="53">
        <f>Tabelle1[[#This Row],[Summe min]]/1440</f>
        <v>0</v>
      </c>
      <c r="H18" s="4"/>
    </row>
    <row r="19" spans="1:8" s="13" customFormat="1" ht="14.25" customHeight="1" x14ac:dyDescent="0.35">
      <c r="A19" s="2"/>
      <c r="B19" s="49"/>
      <c r="C19" s="33"/>
      <c r="D19" s="33"/>
      <c r="E19" s="33"/>
      <c r="F19" s="34">
        <f>SUM(ROUNDUP(Tabelle1[[#This Row],[Fahrzeit]]/5,0)*5, ROUNDUP(Tabelle1[[#This Row],[Direkter Fallkontakt]]/5,0)*5,ROUNDUP(Tabelle1[[#This Row],[Indirekte Fallbearbeitung]]/5,0)*5)</f>
        <v>0</v>
      </c>
      <c r="G19" s="53">
        <f>Tabelle1[[#This Row],[Summe min]]/1440</f>
        <v>0</v>
      </c>
      <c r="H19" s="4"/>
    </row>
    <row r="20" spans="1:8" s="13" customFormat="1" ht="14.25" customHeight="1" x14ac:dyDescent="0.35">
      <c r="A20" s="2"/>
      <c r="B20" s="49"/>
      <c r="C20" s="33"/>
      <c r="D20" s="33"/>
      <c r="E20" s="33"/>
      <c r="F20" s="34">
        <f>SUM(ROUNDUP(Tabelle1[[#This Row],[Fahrzeit]]/5,0)*5, ROUNDUP(Tabelle1[[#This Row],[Direkter Fallkontakt]]/5,0)*5,ROUNDUP(Tabelle1[[#This Row],[Indirekte Fallbearbeitung]]/5,0)*5)</f>
        <v>0</v>
      </c>
      <c r="G20" s="53">
        <f>Tabelle1[[#This Row],[Summe min]]/1440</f>
        <v>0</v>
      </c>
      <c r="H20" s="4"/>
    </row>
    <row r="21" spans="1:8" s="13" customFormat="1" ht="14.25" customHeight="1" x14ac:dyDescent="0.35">
      <c r="A21" s="2"/>
      <c r="B21" s="49"/>
      <c r="C21" s="33"/>
      <c r="D21" s="33"/>
      <c r="E21" s="33"/>
      <c r="F21" s="34">
        <f>SUM(ROUNDUP(Tabelle1[[#This Row],[Fahrzeit]]/5,0)*5, ROUNDUP(Tabelle1[[#This Row],[Direkter Fallkontakt]]/5,0)*5,ROUNDUP(Tabelle1[[#This Row],[Indirekte Fallbearbeitung]]/5,0)*5)</f>
        <v>0</v>
      </c>
      <c r="G21" s="53">
        <f>Tabelle1[[#This Row],[Summe min]]/1440</f>
        <v>0</v>
      </c>
      <c r="H21" s="4"/>
    </row>
    <row r="22" spans="1:8" s="13" customFormat="1" ht="14.25" customHeight="1" x14ac:dyDescent="0.35">
      <c r="A22" s="2"/>
      <c r="B22" s="49"/>
      <c r="C22" s="33"/>
      <c r="D22" s="56"/>
      <c r="E22" s="33"/>
      <c r="F22" s="34">
        <f>SUM(ROUNDUP(Tabelle1[[#This Row],[Fahrzeit]]/5,0)*5, ROUNDUP(Tabelle1[[#This Row],[Direkter Fallkontakt]]/5,0)*5,ROUNDUP(Tabelle1[[#This Row],[Indirekte Fallbearbeitung]]/5,0)*5)</f>
        <v>0</v>
      </c>
      <c r="G22" s="53">
        <f>Tabelle1[[#This Row],[Summe min]]/1440</f>
        <v>0</v>
      </c>
      <c r="H22" s="4"/>
    </row>
    <row r="23" spans="1:8" s="13" customFormat="1" ht="14.25" customHeight="1" x14ac:dyDescent="0.35">
      <c r="A23" s="2"/>
      <c r="B23" s="49"/>
      <c r="C23" s="33"/>
      <c r="D23" s="33"/>
      <c r="E23" s="33"/>
      <c r="F23" s="34">
        <f>SUM(ROUNDUP(Tabelle1[[#This Row],[Fahrzeit]]/5,0)*5, ROUNDUP(Tabelle1[[#This Row],[Direkter Fallkontakt]]/5,0)*5,ROUNDUP(Tabelle1[[#This Row],[Indirekte Fallbearbeitung]]/5,0)*5)</f>
        <v>0</v>
      </c>
      <c r="G23" s="53">
        <f>Tabelle1[[#This Row],[Summe min]]/1440</f>
        <v>0</v>
      </c>
      <c r="H23" s="4"/>
    </row>
    <row r="24" spans="1:8" s="13" customFormat="1" ht="14.25" customHeight="1" x14ac:dyDescent="0.35">
      <c r="A24" s="2"/>
      <c r="B24" s="49"/>
      <c r="C24" s="33"/>
      <c r="D24" s="33"/>
      <c r="E24" s="33"/>
      <c r="F24" s="34">
        <f>SUM(ROUNDUP(Tabelle1[[#This Row],[Fahrzeit]]/5,0)*5, ROUNDUP(Tabelle1[[#This Row],[Direkter Fallkontakt]]/5,0)*5,ROUNDUP(Tabelle1[[#This Row],[Indirekte Fallbearbeitung]]/5,0)*5)</f>
        <v>0</v>
      </c>
      <c r="G24" s="53">
        <f>Tabelle1[[#This Row],[Summe min]]/1440</f>
        <v>0</v>
      </c>
      <c r="H24" s="4"/>
    </row>
    <row r="25" spans="1:8" s="13" customFormat="1" ht="14.25" customHeight="1" x14ac:dyDescent="0.35">
      <c r="A25" s="2"/>
      <c r="B25" s="49"/>
      <c r="C25" s="33"/>
      <c r="D25" s="33"/>
      <c r="E25" s="33"/>
      <c r="F25" s="34">
        <f>SUM(ROUNDUP(Tabelle1[[#This Row],[Fahrzeit]]/5,0)*5, ROUNDUP(Tabelle1[[#This Row],[Direkter Fallkontakt]]/5,0)*5,ROUNDUP(Tabelle1[[#This Row],[Indirekte Fallbearbeitung]]/5,0)*5)</f>
        <v>0</v>
      </c>
      <c r="G25" s="53">
        <f>Tabelle1[[#This Row],[Summe min]]/1440</f>
        <v>0</v>
      </c>
      <c r="H25" s="4"/>
    </row>
    <row r="26" spans="1:8" s="13" customFormat="1" ht="14.25" customHeight="1" x14ac:dyDescent="0.35">
      <c r="A26" s="2"/>
      <c r="B26" s="49"/>
      <c r="C26" s="33"/>
      <c r="D26" s="33"/>
      <c r="E26" s="33"/>
      <c r="F26" s="34">
        <f>SUM(ROUNDUP(Tabelle1[[#This Row],[Fahrzeit]]/5,0)*5, ROUNDUP(Tabelle1[[#This Row],[Direkter Fallkontakt]]/5,0)*5,ROUNDUP(Tabelle1[[#This Row],[Indirekte Fallbearbeitung]]/5,0)*5)</f>
        <v>0</v>
      </c>
      <c r="G26" s="53">
        <f>Tabelle1[[#This Row],[Summe min]]/1440</f>
        <v>0</v>
      </c>
      <c r="H26" s="4"/>
    </row>
    <row r="27" spans="1:8" s="13" customFormat="1" ht="14.25" customHeight="1" x14ac:dyDescent="0.35">
      <c r="A27" s="2"/>
      <c r="B27" s="49"/>
      <c r="C27" s="33"/>
      <c r="D27" s="33"/>
      <c r="E27" s="33"/>
      <c r="F27" s="34">
        <f>SUM(ROUNDUP(Tabelle1[[#This Row],[Fahrzeit]]/5,0)*5, ROUNDUP(Tabelle1[[#This Row],[Direkter Fallkontakt]]/5,0)*5,ROUNDUP(Tabelle1[[#This Row],[Indirekte Fallbearbeitung]]/5,0)*5)</f>
        <v>0</v>
      </c>
      <c r="G27" s="53">
        <f>Tabelle1[[#This Row],[Summe min]]/1440</f>
        <v>0</v>
      </c>
      <c r="H27" s="4"/>
    </row>
    <row r="28" spans="1:8" s="13" customFormat="1" ht="14.25" customHeight="1" x14ac:dyDescent="0.35">
      <c r="A28" s="3"/>
      <c r="B28" s="50"/>
      <c r="C28" s="35"/>
      <c r="D28" s="35"/>
      <c r="E28" s="35"/>
      <c r="F28" s="36">
        <f>SUM(ROUNDUP(Tabelle1[[#This Row],[Fahrzeit]]/5,0)*5, ROUNDUP(Tabelle1[[#This Row],[Direkter Fallkontakt]]/5,0)*5,ROUNDUP(Tabelle1[[#This Row],[Indirekte Fallbearbeitung]]/5,0)*5)</f>
        <v>0</v>
      </c>
      <c r="G28" s="54">
        <f>Tabelle1[[#This Row],[Summe min]]/1440</f>
        <v>0</v>
      </c>
      <c r="H28" s="5"/>
    </row>
    <row r="29" spans="1:8" s="13" customFormat="1" ht="15.5" customHeight="1" x14ac:dyDescent="0.35">
      <c r="A29" s="31"/>
      <c r="B29" s="46" t="s">
        <v>14</v>
      </c>
      <c r="C29" s="37">
        <f>ROUNDUP(SUBTOTAL(109,Tabelle1[Fahrzeit])/5,0)*5</f>
        <v>0</v>
      </c>
      <c r="D29" s="37">
        <f>ROUNDUP(SUBTOTAL(109,Tabelle1[Direkter Fallkontakt])/5,0)*5</f>
        <v>0</v>
      </c>
      <c r="E29" s="37">
        <f>ROUNDUP(SUBTOTAL(109,Tabelle1[Indirekte Fallbearbeitung])/5,0)*5</f>
        <v>0</v>
      </c>
      <c r="F29" s="38">
        <f>SUBTOTAL(109,Tabelle1[Summe min])</f>
        <v>0</v>
      </c>
      <c r="G29" s="55">
        <f>Tabelle1[[#Totals],[Summe min]]/1440</f>
        <v>0</v>
      </c>
      <c r="H29" s="32"/>
    </row>
    <row r="30" spans="1:8" s="13" customFormat="1" ht="15.5" customHeight="1" x14ac:dyDescent="0.35">
      <c r="A30" s="40"/>
      <c r="B30" s="47" t="s">
        <v>15</v>
      </c>
      <c r="C30" s="43"/>
      <c r="D30" s="43"/>
      <c r="E30" s="43"/>
      <c r="F30" s="44">
        <f>C30+D30+E30</f>
        <v>0</v>
      </c>
      <c r="G30" s="44"/>
      <c r="H30" s="10"/>
    </row>
    <row r="31" spans="1:8" s="13" customFormat="1" ht="15.5" customHeight="1" x14ac:dyDescent="0.35">
      <c r="A31" s="41"/>
      <c r="B31" s="47" t="s">
        <v>16</v>
      </c>
      <c r="C31" s="43">
        <f>C30-C29</f>
        <v>0</v>
      </c>
      <c r="D31" s="45">
        <f>D30-D29</f>
        <v>0</v>
      </c>
      <c r="E31" s="45">
        <f>E30-E29</f>
        <v>0</v>
      </c>
      <c r="F31" s="45">
        <f>F30-F29</f>
        <v>0</v>
      </c>
      <c r="G31" s="45"/>
    </row>
    <row r="32" spans="1:8" s="13" customFormat="1" ht="8.5" customHeight="1" x14ac:dyDescent="0.35">
      <c r="A32" s="41"/>
      <c r="B32" s="47"/>
      <c r="C32" s="43"/>
      <c r="D32" s="45"/>
      <c r="E32" s="45"/>
      <c r="F32" s="45"/>
      <c r="G32" s="45"/>
    </row>
    <row r="33" spans="1:8" s="13" customFormat="1" ht="15.5" x14ac:dyDescent="0.35">
      <c r="A33" s="42"/>
      <c r="C33" s="48" t="str">
        <f>IF(OR(C31&lt;0,D31&lt;0,E31&lt;0),"Budget überzogen! Prüfen und genehmigen lassen.",IF(E29&gt;0.5*D29,"Zeiten für indirekte Fallbearbeitung überprüfen!",""))</f>
        <v/>
      </c>
      <c r="D33" s="48"/>
      <c r="E33" s="48"/>
      <c r="F33" s="48"/>
      <c r="G33" s="48"/>
    </row>
    <row r="34" spans="1:8" s="13" customFormat="1" ht="15.5" customHeight="1" x14ac:dyDescent="0.35">
      <c r="A34" s="11"/>
      <c r="B34" s="11"/>
      <c r="C34" s="11"/>
      <c r="D34" s="11"/>
      <c r="E34" s="11"/>
      <c r="F34" s="11"/>
      <c r="G34" s="11"/>
      <c r="H34" s="11"/>
    </row>
  </sheetData>
  <sheetProtection algorithmName="SHA-512" hashValue="n4qWSnt8c8QtkbR9ZdBhC50UNuaccmNhN9p9rePfXAnId9xomUlTVJ9OlbhNJ5iYIWMonEzwyuSUw+TW8kLwbw==" saltValue="bYhGwXyt4eLb7UXs1cvbUQ==" spinCount="100000" sheet="1" objects="1" scenarios="1"/>
  <mergeCells count="4">
    <mergeCell ref="A8:B8"/>
    <mergeCell ref="A6:B6"/>
    <mergeCell ref="A7:B7"/>
    <mergeCell ref="A5:B5"/>
  </mergeCells>
  <conditionalFormatting sqref="C31:F31">
    <cfRule type="expression" dxfId="4" priority="3">
      <formula>C31&lt;0</formula>
    </cfRule>
    <cfRule type="expression" dxfId="3" priority="4">
      <formula>AND(C31&gt;=0,C31&lt;0.2*C30)</formula>
    </cfRule>
    <cfRule type="expression" dxfId="2" priority="5">
      <formula>C31&gt;=0.2*C30</formula>
    </cfRule>
  </conditionalFormatting>
  <conditionalFormatting sqref="C33:G33">
    <cfRule type="expression" dxfId="1" priority="2">
      <formula>LEN($C$33)</formula>
    </cfRule>
  </conditionalFormatting>
  <conditionalFormatting sqref="E29">
    <cfRule type="expression" dxfId="0" priority="9">
      <formula>E29&gt;0.5*D29</formula>
    </cfRule>
  </conditionalFormatting>
  <pageMargins left="0.25" right="0.25" top="0.5" bottom="0.5" header="0.3" footer="0.3"/>
  <pageSetup paperSize="9" orientation="landscape" r:id="rId1"/>
  <headerFooter differentFirst="1">
    <oddFooter>&amp;L&amp;9 Wegpiraten GmbH
Alpenstrasse 2
3800 Interlaken&amp;C&amp;9 Tel: 076 790 67 56
             E-Mail: info@wegpiraten.ch
 www.wegpiraten.ch&amp;R&amp;9 &amp;K000000Sozialpädagogische
Familienbegleitung&amp;K00+000A</oddFooter>
    <firstHeader>&amp;LV5.2 autom
&amp;RC3 - Vertraulich</firstHead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Arbeitszeiterfassung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Zeiterfassung Wegpiraten</dc:title>
  <dc:creator>Stephan Reindl</dc:creator>
  <cp:lastModifiedBy>Gnothi Sauton</cp:lastModifiedBy>
  <cp:lastPrinted>2024-02-04T10:57:13Z</cp:lastPrinted>
  <dcterms:created xsi:type="dcterms:W3CDTF">1999-08-26T05:56:43Z</dcterms:created>
  <dcterms:modified xsi:type="dcterms:W3CDTF">2026-04-07T20:04:19Z</dcterms:modified>
</cp:coreProperties>
</file>